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LeaderMethodology\"/>
    </mc:Choice>
  </mc:AlternateContent>
  <xr:revisionPtr revIDLastSave="0" documentId="13_ncr:1_{53DBD9E0-C381-4615-96AA-A612115E9028}" xr6:coauthVersionLast="47" xr6:coauthVersionMax="47" xr10:uidLastSave="{00000000-0000-0000-0000-000000000000}"/>
  <bookViews>
    <workbookView xWindow="-108" yWindow="-108" windowWidth="23256" windowHeight="13896" firstSheet="1" activeTab="1" xr2:uid="{6274A289-9C1F-4174-8A94-9BA38FCDDB48}"/>
  </bookViews>
  <sheets>
    <sheet name="Guide" sheetId="1" r:id="rId1"/>
    <sheet name="CheckList" sheetId="2" r:id="rId2"/>
    <sheet name="1.工作區域" sheetId="3" r:id="rId3"/>
    <sheet name="2.產品、製程流程及標準" sheetId="6" r:id="rId4"/>
    <sheet name="3.製程設備&amp;機台資訊" sheetId="5" r:id="rId5"/>
    <sheet name="4.生產計劃Schedule" sheetId="8" r:id="rId6"/>
    <sheet name="A.製程 Recipe 保存、資訊流、Server 架構、資訊" sheetId="9" r:id="rId7"/>
    <sheet name="B.製造 CIM" sheetId="10" r:id="rId8"/>
    <sheet name="C.製程動作分析盤點" sheetId="11" r:id="rId9"/>
    <sheet name="C.Chart" sheetId="14" r:id="rId10"/>
    <sheet name="X.Sample" sheetId="7" r:id="rId11"/>
    <sheet name="TB_Check" sheetId="4" r:id="rId12"/>
    <sheet name="TB_製程動作分析盤點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4" l="1"/>
  <c r="J3" i="14"/>
  <c r="H3" i="14"/>
  <c r="F3" i="14"/>
  <c r="D3" i="14"/>
  <c r="B3" i="14"/>
  <c r="A3" i="14"/>
  <c r="I3" i="14" l="1"/>
  <c r="K3" i="14"/>
  <c r="M3" i="14"/>
  <c r="C3" i="14"/>
  <c r="E3" i="14"/>
  <c r="G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Cheng Ting Tsai</author>
  </authors>
  <commentList>
    <comment ref="A2" authorId="0" shapeId="0" xr:uid="{0BF312DB-184D-40CB-BC72-BBF1D83FFAE4}">
      <text>
        <r>
          <rPr>
            <b/>
            <sz val="20"/>
            <color indexed="81"/>
            <rFont val="微軟正黑體"/>
            <family val="2"/>
            <charset val="136"/>
          </rPr>
          <t>Cheng Ting Tsai:</t>
        </r>
        <r>
          <rPr>
            <sz val="20"/>
            <color indexed="81"/>
            <rFont val="微軟正黑體"/>
            <family val="2"/>
            <charset val="136"/>
          </rPr>
          <t xml:space="preserve">
1.請拆解成單一動作
2.請在Note欄位說明及提供:目前生產中做常遇到的瓶頸</t>
        </r>
      </text>
    </comment>
  </commentList>
</comments>
</file>

<file path=xl/sharedStrings.xml><?xml version="1.0" encoding="utf-8"?>
<sst xmlns="http://schemas.openxmlformats.org/spreadsheetml/2006/main" count="215" uniqueCount="156">
  <si>
    <t>文件名稱/Document</t>
    <phoneticPr fontId="1" type="noConversion"/>
  </si>
  <si>
    <t>文件編號/Number</t>
    <phoneticPr fontId="1" type="noConversion"/>
  </si>
  <si>
    <t>版本/Version</t>
    <phoneticPr fontId="1" type="noConversion"/>
  </si>
  <si>
    <t>創建日期/CreatDate</t>
    <phoneticPr fontId="1" type="noConversion"/>
  </si>
  <si>
    <t>擁有者/Owner</t>
    <phoneticPr fontId="1" type="noConversion"/>
  </si>
  <si>
    <t>Tab_Tsai</t>
    <phoneticPr fontId="1" type="noConversion"/>
  </si>
  <si>
    <t>目的/Target</t>
    <phoneticPr fontId="1" type="noConversion"/>
  </si>
  <si>
    <t>使用範圍/Range</t>
    <phoneticPr fontId="1" type="noConversion"/>
  </si>
  <si>
    <t>機密等級/Classification</t>
    <phoneticPr fontId="1" type="noConversion"/>
  </si>
  <si>
    <t>實施日期/IssueDate</t>
    <phoneticPr fontId="1" type="noConversion"/>
  </si>
  <si>
    <t>重審日期/ReviewDate</t>
    <phoneticPr fontId="1" type="noConversion"/>
  </si>
  <si>
    <t>一年重審</t>
    <phoneticPr fontId="1" type="noConversion"/>
  </si>
  <si>
    <t>LM-01-000</t>
    <phoneticPr fontId="1" type="noConversion"/>
  </si>
  <si>
    <t>01_組織工作盤查.xlsx</t>
    <phoneticPr fontId="1" type="noConversion"/>
  </si>
  <si>
    <t>1.0.0.0</t>
    <phoneticPr fontId="1" type="noConversion"/>
  </si>
  <si>
    <t>確認組織邊界、確認工作內容、定義及規範工作所需功能,確認現有規格,確認現有架構,提供報告及驗收標準,制定流程圖,確認服務項目,確保穩定,提供數據及異常資訊</t>
    <phoneticPr fontId="1" type="noConversion"/>
  </si>
  <si>
    <t>全宇宙</t>
    <phoneticPr fontId="1" type="noConversion"/>
  </si>
  <si>
    <t>一般</t>
    <phoneticPr fontId="1" type="noConversion"/>
  </si>
  <si>
    <t>Iteam</t>
    <phoneticPr fontId="1" type="noConversion"/>
  </si>
  <si>
    <t>Data</t>
    <phoneticPr fontId="1" type="noConversion"/>
  </si>
  <si>
    <t>Check</t>
    <phoneticPr fontId="1" type="noConversion"/>
  </si>
  <si>
    <t>備註</t>
    <phoneticPr fontId="1" type="noConversion"/>
  </si>
  <si>
    <t>請確認以下表格，對應 Sheet 內容
(黃底部分皆要調寫確認結果)</t>
    <phoneticPr fontId="1" type="noConversion"/>
  </si>
  <si>
    <t>Sheet</t>
    <phoneticPr fontId="1" type="noConversion"/>
  </si>
  <si>
    <t>工作區域</t>
    <phoneticPr fontId="1" type="noConversion"/>
  </si>
  <si>
    <t>Yes</t>
    <phoneticPr fontId="1" type="noConversion"/>
  </si>
  <si>
    <t>No</t>
    <phoneticPr fontId="1" type="noConversion"/>
  </si>
  <si>
    <t>製程設備&amp;機台資訊</t>
    <phoneticPr fontId="1" type="noConversion"/>
  </si>
  <si>
    <t>產品、製程流程及標準</t>
    <phoneticPr fontId="1" type="noConversion"/>
  </si>
  <si>
    <t>請說明及提供:工單、產品清單、訂單資訊、客戶、主力產品、優勢主力
(包含產品概述、供應鏈上下游、應用領域)</t>
    <phoneticPr fontId="1" type="noConversion"/>
  </si>
  <si>
    <t>請說明及提供:製造標準作業流程 SOP
(包含各種產品生產流程圖、站點目的、花費時間、UPH、製造規格)</t>
    <phoneticPr fontId="1" type="noConversion"/>
  </si>
  <si>
    <t>請說明及提供:品質控制與測試
(包含檢測產品品質、如何判定瑕疵、檢測設備的使用方式)</t>
    <phoneticPr fontId="1" type="noConversion"/>
  </si>
  <si>
    <t>請說明及提供:工作場所安全
(包含製程中涉及的安全規範，包括化學品、機械設備操作及人員保護措施)</t>
    <phoneticPr fontId="1" type="noConversion"/>
  </si>
  <si>
    <t>請說明及提供:各站作業人員、設備工程、產品工程等教育訓練資訊</t>
    <phoneticPr fontId="1" type="noConversion"/>
  </si>
  <si>
    <t>請說明及提供:產品與市場的發展
(包含產品的演進歷程、關鍵競爭優勢及未來發展方向)</t>
    <phoneticPr fontId="1" type="noConversion"/>
  </si>
  <si>
    <t>請說明及提供:目前生產中做常遇到的瓶頸
(包含站點、異常項目、發生時機、紀錄)</t>
    <phoneticPr fontId="1" type="noConversion"/>
  </si>
  <si>
    <t>請說明及提供:工作區域位置範圍、空間布局、設施、座位、車位、分機、名片
(包含行動路線、逃生路線、車輛進出、門禁權限申請、樓層平面圖)</t>
    <phoneticPr fontId="1" type="noConversion"/>
  </si>
  <si>
    <t>請說明及提供:所需用到的工具、設備、軟體、系統
(包含電腦，例如:雙螢幕(27吋)、C磁碟500GB以上、D磁碟1TB、記憶體16GB、OSE:Windows(版本依公司規定)、如果可以再加1張顯示卡 nVidia 4060 以上)
(包含:無塵衣(確認尺寸)、靜電手環、無塵包等裝備)
(包含:企業內使用的郵件、會議、開發工具、防毒軟體、VPN等)
(包含:企業用之ERP、SAP、MES、EAP等及系統操作方式)</t>
    <phoneticPr fontId="1" type="noConversion"/>
  </si>
  <si>
    <t>請說明及提供:企業內各班別之上下班時間、午休、輪調等機制及時機</t>
    <phoneticPr fontId="1" type="noConversion"/>
  </si>
  <si>
    <t>請說明:公司文化及部門氛圍</t>
    <phoneticPr fontId="1" type="noConversion"/>
  </si>
  <si>
    <t>請說明及提供:帶新人的輔導員名冊、教育訓練項目</t>
    <phoneticPr fontId="1" type="noConversion"/>
  </si>
  <si>
    <t>請介紹:本部門成員、主管及其他部門等組織圖</t>
    <phoneticPr fontId="1" type="noConversion"/>
  </si>
  <si>
    <t>請說明及提供:企業內報告、Report、8D、ppt、icon、企業形象辨識系統等文件之格式及範本</t>
    <phoneticPr fontId="1" type="noConversion"/>
  </si>
  <si>
    <t>請說明及提供:企業內規格SPC系統</t>
    <phoneticPr fontId="1" type="noConversion"/>
  </si>
  <si>
    <t>請說明及提供:企業內管理辦法、能源管理、廢棄物管理、溫室氣體盤查等文件</t>
    <phoneticPr fontId="1" type="noConversion"/>
  </si>
  <si>
    <t>請說明及提供:企業內檔案、文件等保存方式及操作方式</t>
    <phoneticPr fontId="1" type="noConversion"/>
  </si>
  <si>
    <t>請說明及提供:企業內工作、出勤管理工具(看板、工作紀錄、Schedule、MA總計)、聯絡方式(App等)及聯絡資訊</t>
    <phoneticPr fontId="1" type="noConversion"/>
  </si>
  <si>
    <t>請說明及提供:本團隊Daily、Weekly會固定Review、會議等事宜</t>
    <phoneticPr fontId="1" type="noConversion"/>
  </si>
  <si>
    <t>請說明及提供:排程資訊
(包含每日生產計劃 Schedule、下週、下個月、下一季、明年計畫)</t>
    <phoneticPr fontId="1" type="noConversion"/>
  </si>
  <si>
    <t>請說明及提供:製程機台類型、數量、區域分布圖、機台功能</t>
    <phoneticPr fontId="1" type="noConversion"/>
  </si>
  <si>
    <t>請說明及提供:機台負責人及聯絡方式(HW、SW、PE、設備商、客戶等)</t>
    <phoneticPr fontId="1" type="noConversion"/>
  </si>
  <si>
    <r>
      <t>請說明及提供:機台硬體規格及操作程序使用手冊
(包含支援升級、維修、主機板</t>
    </r>
    <r>
      <rPr>
        <sz val="12"/>
        <color theme="1"/>
        <rFont val="Microsoft JhengHei UI"/>
        <family val="2"/>
        <charset val="136"/>
      </rPr>
      <t>、記憶體、硬碟、通訊介面卡，搭配版本及控制方式</t>
    </r>
    <r>
      <rPr>
        <sz val="12"/>
        <color theme="1"/>
        <rFont val="Microsoft JhengHei Light"/>
        <family val="2"/>
        <charset val="136"/>
      </rPr>
      <t>)</t>
    </r>
    <phoneticPr fontId="1" type="noConversion"/>
  </si>
  <si>
    <t>動作分析</t>
    <phoneticPr fontId="1" type="noConversion"/>
  </si>
  <si>
    <t>生產計劃Schedule</t>
    <phoneticPr fontId="1" type="noConversion"/>
  </si>
  <si>
    <r>
      <t>請說明及提供:機台軟體設置</t>
    </r>
    <r>
      <rPr>
        <sz val="12"/>
        <color theme="1"/>
        <rFont val="Microsoft JhengHei UI"/>
        <family val="2"/>
        <charset val="136"/>
      </rPr>
      <t>及</t>
    </r>
    <r>
      <rPr>
        <sz val="12"/>
        <color theme="1"/>
        <rFont val="Microsoft JhengHei Light"/>
        <family val="2"/>
        <charset val="136"/>
      </rPr>
      <t>操作程序使用手冊
(包含支援升級、維修、作業系統、資訊安全、防毒、權限管制方式、安裝合法可商業使用授權軟體)</t>
    </r>
    <phoneticPr fontId="1" type="noConversion"/>
  </si>
  <si>
    <t>請說明及提供:來料確認、出入庫、出入帳、WIP、放置區域、倉儲管理、容器、搬運方式
(包含誰送貨來、何時送到下一站、多久確認、怎麼收取、料確認方式、系統紀錄)</t>
    <phoneticPr fontId="1" type="noConversion"/>
  </si>
  <si>
    <t>請說明及提供:製程 Recipe、參數細節與關鍵控制點、Recipe管理、材料、替代料、BOM表
(包含參數設置方式、上下限、影響因素)</t>
    <phoneticPr fontId="1" type="noConversion"/>
  </si>
  <si>
    <t>請說明及提供:機台教育訓練、月保、季保、年保
(包含人員操作、安裝、維修)</t>
    <phoneticPr fontId="1" type="noConversion"/>
  </si>
  <si>
    <t>通識</t>
    <phoneticPr fontId="1" type="noConversion"/>
  </si>
  <si>
    <t>專業</t>
    <phoneticPr fontId="1" type="noConversion"/>
  </si>
  <si>
    <r>
      <t>請說明及提供:</t>
    </r>
    <r>
      <rPr>
        <sz val="12"/>
        <color theme="1"/>
        <rFont val="Microsoft JhengHei UI"/>
        <family val="2"/>
        <charset val="136"/>
      </rPr>
      <t>訂單、</t>
    </r>
    <r>
      <rPr>
        <sz val="12"/>
        <color theme="1"/>
        <rFont val="Microsoft JhengHei Light"/>
        <family val="2"/>
        <charset val="136"/>
      </rPr>
      <t>WIP、工單下線流程、流程定義、生產履歷、碳足跡
(包含工單創建方式、業務與客戶訂單確認程序)</t>
    </r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</si>
  <si>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</si>
  <si>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</si>
  <si>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</si>
  <si>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</si>
  <si>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</si>
  <si>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</si>
  <si>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請說明及提供:製造區域、辦公室、樓層、大樓之網路架構、資訊流及管理方式
(包含每個區域的Switch、防火牆、設備、機台、管制方式、網速頻寬、權限、連線紀錄)
有架構圖最好</t>
    <phoneticPr fontId="1" type="noConversion"/>
  </si>
  <si>
    <t>請說明及提供:企業內部檔案系統保存方式
(包含使用Synology?使用Azure?叢集、異地備援)
有架構圖最好</t>
    <phoneticPr fontId="1" type="noConversion"/>
  </si>
  <si>
    <t>請說明及提供:企業內部 Recipe檔案、機台 Log 等關鍵製程檔案資訊之保存方式
(包含使用Synology?使用Azure?叢集、異地備援、防竄改、版本控制)
有架構圖最好</t>
    <phoneticPr fontId="1" type="noConversion"/>
  </si>
  <si>
    <t>請說明及提供:企業內所使用之防毒軟體清單
(包含不同區域或用途所使用之軟體、掃毒結果查閱、異常分析查詢、黑白名單設置)</t>
    <phoneticPr fontId="1" type="noConversion"/>
  </si>
  <si>
    <t>請說明及提供:安排方式
(包含工件數、排貨邏輯、優先順序、使用甚麼工具、如何公布、多久更新、插單、Urgent、UPH、稼動率、IndexTime、CycleTime)</t>
    <phoneticPr fontId="1" type="noConversion"/>
  </si>
  <si>
    <t>請說明及提供:產能、OEE、人員出勤、加班時數、人機比、機台利用率、Setup
(包含達成率確認、By 產品、By 客戶、By 機台、By Package、產出標準制定、標準工時制定、如何計算機台實際運作時間與總時間的比率、如何計算機台轉換產品時的準備時間、動作與時間研究)</t>
    <phoneticPr fontId="1" type="noConversion"/>
  </si>
  <si>
    <t>製程 Recipe 保存、資訊流、Server 架構、資訊安全</t>
    <phoneticPr fontId="1" type="noConversion"/>
  </si>
  <si>
    <t>製程動作分析盤點(For 各站各單位Owner)及瓶頸、痛點確認</t>
    <phoneticPr fontId="1" type="noConversion"/>
  </si>
  <si>
    <t>製造 CIM</t>
    <phoneticPr fontId="1" type="noConversion"/>
  </si>
  <si>
    <t>請確認以下表格，對應 Sheet 內容
(黃底部要調寫確認結果)</t>
    <phoneticPr fontId="1" type="noConversion"/>
  </si>
  <si>
    <t>新產品及機台導入(For 製造產品、設備單位Owner)</t>
    <phoneticPr fontId="1" type="noConversion"/>
  </si>
  <si>
    <t>請說明及提供:企業內部與製造生產有關系統(MES、SAP、ERP等) Server架構及管理方式
(包含使用 VM? 叢集?HAProxy?異地備援?機房?規格?RAID?)
有架構圖最好</t>
    <phoneticPr fontId="1" type="noConversion"/>
  </si>
  <si>
    <t>請說明及提供:廠內各製程或產品使用之搬運/移動/配送方式
(包含身分綁定、身分確認、命名規則、分配方式)</t>
    <phoneticPr fontId="1" type="noConversion"/>
  </si>
  <si>
    <t>請說明及提供:廠內各製程使用之容器、包材、箱子、貨架的管理方式
(包含身分綁定、身分確認、命名規則、分配方式)</t>
    <phoneticPr fontId="1" type="noConversion"/>
  </si>
  <si>
    <t>請說明及提供:廠內各製程或產品使用之材料、配件、治具
(包含身分綁定、身分確認、命名規則、分配方式)</t>
    <phoneticPr fontId="1" type="noConversion"/>
  </si>
  <si>
    <r>
      <t>請說明及提供:廠內製程參數/</t>
    </r>
    <r>
      <rPr>
        <sz val="12"/>
        <color theme="1"/>
        <rFont val="Microsoft JhengHei UI"/>
        <family val="2"/>
        <charset val="136"/>
      </rPr>
      <t>數據收集方式及卡控方式</t>
    </r>
    <r>
      <rPr>
        <sz val="12"/>
        <color theme="1"/>
        <rFont val="Microsoft JhengHei Light"/>
        <family val="2"/>
        <charset val="136"/>
      </rPr>
      <t xml:space="preserve">
(包含客戶Review時的資訊)</t>
    </r>
    <phoneticPr fontId="1" type="noConversion"/>
  </si>
  <si>
    <t>請說明及提供:廠內各製程或產品之報表、圖表
(包含誰看、怎麼呈現、怎麼推播、怎麼提供給預期使用者、怎麼管理)</t>
    <phoneticPr fontId="1" type="noConversion"/>
  </si>
  <si>
    <t>請說明及提供:廠內客戶工單下線、B2B、帳目交握等架構
(包含觸發時機、觸發方法、邏輯、格式)</t>
    <phoneticPr fontId="1" type="noConversion"/>
  </si>
  <si>
    <t>請說明及提供:客戶要求的產出、良率相關之報表、圖表
(包含客戶的誰看、何時提供、怎麼呈現、怎麼配送、管制哪些項目)</t>
    <phoneticPr fontId="1" type="noConversion"/>
  </si>
  <si>
    <t>請說明及提供:廠內製程 CIM/Automation 架構及使用手冊
(包含SECS/GEM、WebServcie、MQ等)</t>
    <phoneticPr fontId="1" type="noConversion"/>
  </si>
  <si>
    <t>請說明及提供:廠內各製程或產品使用之 Recipe 配方
(包含卡控、上下限、配方設置自動化、SetGolden、GoldenReicpe管理)</t>
    <phoneticPr fontId="1" type="noConversion"/>
  </si>
  <si>
    <t>請說明及提供:廠內各製程或產品生產之流程履歷
(包含進站、近機、出站、出機、重工、報廢、入庫、出廠、材料用量、耗材用量、能源度數、水量等、流程前後關係)</t>
    <phoneticPr fontId="1" type="noConversion"/>
  </si>
  <si>
    <t>線別</t>
    <phoneticPr fontId="1" type="noConversion"/>
  </si>
  <si>
    <t>站點</t>
    <phoneticPr fontId="1" type="noConversion"/>
  </si>
  <si>
    <t>作業動作</t>
    <phoneticPr fontId="1" type="noConversion"/>
  </si>
  <si>
    <t>動作</t>
    <phoneticPr fontId="1" type="noConversion"/>
  </si>
  <si>
    <t>管制機制
(若有請填寫規格編號及章節；反之為NA)</t>
    <phoneticPr fontId="1" type="noConversion"/>
  </si>
  <si>
    <t>短期對策</t>
    <phoneticPr fontId="1" type="noConversion"/>
  </si>
  <si>
    <t>長期對策</t>
    <phoneticPr fontId="1" type="noConversion"/>
  </si>
  <si>
    <r>
      <t>Risk Level
高(錯\漏\混)
中(</t>
    </r>
    <r>
      <rPr>
        <sz val="12"/>
        <color theme="1"/>
        <rFont val="Microsoft JhengHei UI"/>
        <family val="2"/>
        <charset val="136"/>
      </rPr>
      <t>外觀不符\帳料不符</t>
    </r>
    <r>
      <rPr>
        <sz val="12"/>
        <color theme="1"/>
        <rFont val="Microsoft JhengHei Light"/>
        <family val="2"/>
        <charset val="136"/>
      </rPr>
      <t>)
低(資料\動作不符)</t>
    </r>
    <phoneticPr fontId="1" type="noConversion"/>
  </si>
  <si>
    <t>高</t>
  </si>
  <si>
    <t>高</t>
    <phoneticPr fontId="1" type="noConversion"/>
  </si>
  <si>
    <t>中</t>
    <phoneticPr fontId="1" type="noConversion"/>
  </si>
  <si>
    <t>低</t>
  </si>
  <si>
    <t>低</t>
    <phoneticPr fontId="1" type="noConversion"/>
  </si>
  <si>
    <t>NA</t>
    <phoneticPr fontId="1" type="noConversion"/>
  </si>
  <si>
    <t>廠內系統</t>
    <phoneticPr fontId="1" type="noConversion"/>
  </si>
  <si>
    <t>人檢</t>
  </si>
  <si>
    <t>人檢</t>
    <phoneticPr fontId="1" type="noConversion"/>
  </si>
  <si>
    <t>機台設備</t>
    <phoneticPr fontId="1" type="noConversion"/>
  </si>
  <si>
    <t>卡控類型
(廠內系統/機台設備/人檢/客戶)</t>
    <phoneticPr fontId="1" type="noConversion"/>
  </si>
  <si>
    <t>客戶</t>
    <phoneticPr fontId="1" type="noConversion"/>
  </si>
  <si>
    <t>範例A line</t>
    <phoneticPr fontId="1" type="noConversion"/>
  </si>
  <si>
    <t>測試</t>
    <phoneticPr fontId="1" type="noConversion"/>
  </si>
  <si>
    <t>測試前</t>
    <phoneticPr fontId="1" type="noConversion"/>
  </si>
  <si>
    <t>人員至待測區取貨</t>
    <phoneticPr fontId="1" type="noConversion"/>
  </si>
  <si>
    <t>動作描述</t>
    <phoneticPr fontId="1" type="noConversion"/>
  </si>
  <si>
    <t>動作風險</t>
    <phoneticPr fontId="1" type="noConversion"/>
  </si>
  <si>
    <t>混料</t>
    <phoneticPr fontId="1" type="noConversion"/>
  </si>
  <si>
    <t>須由全能工在備料前確認後在流程卡上簽名</t>
    <phoneticPr fontId="1" type="noConversion"/>
  </si>
  <si>
    <t>自動搬運</t>
    <phoneticPr fontId="1" type="noConversion"/>
  </si>
  <si>
    <t>動作類型</t>
    <phoneticPr fontId="1" type="noConversion"/>
  </si>
  <si>
    <t>加工</t>
  </si>
  <si>
    <t>加工</t>
    <phoneticPr fontId="1" type="noConversion"/>
  </si>
  <si>
    <t>搬運</t>
  </si>
  <si>
    <t>搬運</t>
    <phoneticPr fontId="1" type="noConversion"/>
  </si>
  <si>
    <t>儲存</t>
    <phoneticPr fontId="1" type="noConversion"/>
  </si>
  <si>
    <t>停滯</t>
    <phoneticPr fontId="1" type="noConversion"/>
  </si>
  <si>
    <t>檢查</t>
  </si>
  <si>
    <t>檢查</t>
    <phoneticPr fontId="1" type="noConversion"/>
  </si>
  <si>
    <t>等待</t>
    <phoneticPr fontId="1" type="noConversion"/>
  </si>
  <si>
    <t>取貨時人員自行檢查</t>
    <phoneticPr fontId="1" type="noConversion"/>
  </si>
  <si>
    <r>
      <t>確認箱子內產品與Schedule工單、數量、</t>
    </r>
    <r>
      <rPr>
        <sz val="12"/>
        <color theme="1"/>
        <rFont val="Microsoft JhengHei UI"/>
        <family val="2"/>
        <charset val="136"/>
      </rPr>
      <t>測試站點一致</t>
    </r>
    <phoneticPr fontId="1" type="noConversion"/>
  </si>
  <si>
    <t>混料/資料不符/數量不符</t>
  </si>
  <si>
    <r>
      <rPr>
        <sz val="12"/>
        <color theme="1"/>
        <rFont val="Microsoft JhengHei Light"/>
        <family val="2"/>
        <charset val="136"/>
      </rPr>
      <t>混料</t>
    </r>
    <r>
      <rPr>
        <sz val="12"/>
        <color theme="1"/>
        <rFont val="Calibri"/>
        <family val="2"/>
      </rPr>
      <t>/</t>
    </r>
    <r>
      <rPr>
        <sz val="12"/>
        <color theme="1"/>
        <rFont val="Microsoft JhengHei Light"/>
        <family val="2"/>
        <charset val="136"/>
      </rPr>
      <t>資料不符</t>
    </r>
    <r>
      <rPr>
        <sz val="12"/>
        <color theme="1"/>
        <rFont val="Calibri"/>
        <family val="2"/>
      </rPr>
      <t>/</t>
    </r>
    <r>
      <rPr>
        <sz val="12"/>
        <color theme="1"/>
        <rFont val="Microsoft JhengHei Light"/>
        <family val="2"/>
        <charset val="136"/>
      </rPr>
      <t>數量不符</t>
    </r>
    <phoneticPr fontId="1" type="noConversion"/>
  </si>
  <si>
    <r>
      <rPr>
        <sz val="12"/>
        <color theme="1"/>
        <rFont val="Microsoft JhengHei Light"/>
        <family val="2"/>
        <charset val="136"/>
      </rPr>
      <t>混料</t>
    </r>
    <r>
      <rPr>
        <sz val="12"/>
        <color theme="1"/>
        <rFont val="Calibri"/>
        <family val="2"/>
      </rPr>
      <t>/</t>
    </r>
    <r>
      <rPr>
        <sz val="12"/>
        <color theme="1"/>
        <rFont val="Microsoft JhengHei Light"/>
        <family val="2"/>
        <charset val="136"/>
      </rPr>
      <t>資料不符</t>
    </r>
    <phoneticPr fontId="1" type="noConversion"/>
  </si>
  <si>
    <t>資料不符</t>
    <phoneticPr fontId="1" type="noConversion"/>
  </si>
  <si>
    <r>
      <rPr>
        <sz val="12"/>
        <color theme="1"/>
        <rFont val="Microsoft JhengHei Light"/>
        <family val="2"/>
        <charset val="136"/>
      </rPr>
      <t>資料不符</t>
    </r>
    <r>
      <rPr>
        <sz val="12"/>
        <color theme="1"/>
        <rFont val="Calibri"/>
        <family val="2"/>
      </rPr>
      <t>/</t>
    </r>
    <r>
      <rPr>
        <sz val="12"/>
        <color theme="1"/>
        <rFont val="Microsoft JhengHei Light"/>
        <family val="2"/>
        <charset val="136"/>
      </rPr>
      <t>數量不符</t>
    </r>
    <phoneticPr fontId="1" type="noConversion"/>
  </si>
  <si>
    <t>數量不符</t>
    <phoneticPr fontId="1" type="noConversion"/>
  </si>
  <si>
    <t>錯程式</t>
    <phoneticPr fontId="1" type="noConversion"/>
  </si>
  <si>
    <t>錯流程卡</t>
    <phoneticPr fontId="1" type="noConversion"/>
  </si>
  <si>
    <t>好壞品混</t>
    <phoneticPr fontId="1" type="noConversion"/>
  </si>
  <si>
    <t>GAP</t>
    <phoneticPr fontId="1" type="noConversion"/>
  </si>
  <si>
    <t>資料缺少</t>
    <phoneticPr fontId="1" type="noConversion"/>
  </si>
  <si>
    <t>報表格式錯誤</t>
    <phoneticPr fontId="1" type="noConversion"/>
  </si>
  <si>
    <t>測試中</t>
    <phoneticPr fontId="1" type="noConversion"/>
  </si>
  <si>
    <t>起測時間紀錄</t>
    <phoneticPr fontId="1" type="noConversion"/>
  </si>
  <si>
    <t>遺忘</t>
    <phoneticPr fontId="1" type="noConversion"/>
  </si>
  <si>
    <r>
      <rPr>
        <sz val="12"/>
        <color theme="1"/>
        <rFont val="細明體"/>
        <family val="2"/>
        <charset val="136"/>
      </rPr>
      <t>遺忘</t>
    </r>
    <r>
      <rPr>
        <sz val="12"/>
        <color theme="1"/>
        <rFont val="Calibri"/>
        <family val="2"/>
      </rPr>
      <t>/</t>
    </r>
    <r>
      <rPr>
        <sz val="12"/>
        <color theme="1"/>
        <rFont val="細明體"/>
        <family val="2"/>
        <charset val="136"/>
      </rPr>
      <t>資料缺少</t>
    </r>
    <phoneticPr fontId="1" type="noConversion"/>
  </si>
  <si>
    <t>遺忘/資料缺少</t>
  </si>
  <si>
    <t>人員自行提醒自己(人體鬧鐘)</t>
    <phoneticPr fontId="1" type="noConversion"/>
  </si>
  <si>
    <t>買鬧鐘給人員提醒</t>
    <phoneticPr fontId="1" type="noConversion"/>
  </si>
  <si>
    <t>Automation+2DID</t>
    <phoneticPr fontId="1" type="noConversion"/>
  </si>
  <si>
    <t>Automation</t>
    <phoneticPr fontId="1" type="noConversion"/>
  </si>
  <si>
    <t>測試中每隔30分鐘紀錄產出資訊</t>
    <phoneticPr fontId="1" type="noConversion"/>
  </si>
  <si>
    <r>
      <t>偵測風險 
高(全廠內無法偵測)
中(</t>
    </r>
    <r>
      <rPr>
        <sz val="12"/>
        <color theme="1"/>
        <rFont val="Microsoft JhengHei UI"/>
        <family val="2"/>
        <charset val="136"/>
      </rPr>
      <t>下一站可以</t>
    </r>
    <r>
      <rPr>
        <sz val="12"/>
        <color theme="1"/>
        <rFont val="Microsoft JhengHei Light"/>
        <family val="2"/>
        <charset val="136"/>
      </rPr>
      <t>偵測)
低(當站可以偵測)</t>
    </r>
    <phoneticPr fontId="1" type="noConversion"/>
  </si>
  <si>
    <t>Risk Level
高(錯\漏\混)
中(外觀不符\帳料不符)
低(資料\動作不符)</t>
    <phoneticPr fontId="1" type="noConversion"/>
  </si>
  <si>
    <t>偵測風險
高(全廠內無法偵測)
中(下一站可以偵測)
低(當站可以偵測)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</si>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</sst>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theme="1"/>
      <name val="Microsoft JhengHei Light"/>
      <family val="2"/>
      <charset val="136"/>
    </font>
    <font>
      <sz val="12"/>
      <color theme="1"/>
      <name val="Microsoft JhengHei UI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Microsoft JhengHei"/>
      <family val="2"/>
    </font>
    <font>
      <sz val="16"/>
      <color theme="1"/>
      <name val="Microsoft JhengHei Light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細明體"/>
      <family val="2"/>
      <charset val="136"/>
    </font>
    <font>
      <sz val="16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20"/>
      <color indexed="81"/>
      <name val="微軟正黑體"/>
      <family val="2"/>
      <charset val="136"/>
    </font>
    <font>
      <sz val="20"/>
      <color indexed="8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DE40A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2" borderId="0" xfId="0" applyFont="1" applyFill="1">
      <alignment vertical="center"/>
    </xf>
    <xf numFmtId="0" fontId="9" fillId="0" borderId="0" xfId="0" applyFont="1">
      <alignment vertical="center"/>
    </xf>
    <xf numFmtId="0" fontId="6" fillId="2" borderId="0" xfId="0" applyFont="1" applyFill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7" fillId="2" borderId="1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0" fontId="14" fillId="2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4" borderId="1" xfId="0" applyFont="1" applyFill="1" applyBorder="1">
      <alignment vertical="center"/>
    </xf>
  </cellXfs>
  <cellStyles count="1">
    <cellStyle name="一般" xfId="0" builtinId="0"/>
  </cellStyles>
  <dxfs count="3">
    <dxf>
      <font>
        <b/>
        <i val="0"/>
        <color theme="0"/>
      </font>
      <fill>
        <patternFill>
          <bgColor rgb="FFFF8000"/>
        </patternFill>
      </fill>
    </dxf>
    <dxf>
      <font>
        <b/>
        <i val="0"/>
        <color theme="0"/>
      </font>
      <fill>
        <patternFill>
          <bgColor rgb="FFDE40A4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FF8000"/>
      <color rgb="FFDE40A4"/>
      <color rgb="FFFF0000"/>
      <color rgb="FFFF0066"/>
      <color rgb="FFFF66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'C.Chart'!$A$1</c:f>
              <c:strCache>
                <c:ptCount val="1"/>
                <c:pt idx="0">
                  <c:v>動作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F24B-4219-8460-0F96122E9466}"/>
              </c:ext>
            </c:extLst>
          </c:dPt>
          <c:dPt>
            <c:idx val="1"/>
            <c:bubble3D val="0"/>
            <c:spPr>
              <a:solidFill>
                <a:srgbClr val="FF006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24B-4219-8460-0F96122E9466}"/>
              </c:ext>
            </c:extLst>
          </c:dPt>
          <c:dPt>
            <c:idx val="2"/>
            <c:bubble3D val="0"/>
            <c:spPr>
              <a:solidFill>
                <a:srgbClr val="FF8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F24B-4219-8460-0F96122E946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('C.Chart'!$B$2,'C.Chart'!$D$2,'C.Chart'!$F$2)</c:f>
              <c:strCache>
                <c:ptCount val="3"/>
                <c:pt idx="0">
                  <c:v>高</c:v>
                </c:pt>
                <c:pt idx="1">
                  <c:v>中</c:v>
                </c:pt>
                <c:pt idx="2">
                  <c:v>低</c:v>
                </c:pt>
              </c:strCache>
            </c:strRef>
          </c:cat>
          <c:val>
            <c:numRef>
              <c:f>('C.Chart'!$C$3,'C.Chart'!$E$3,'C.Chart'!$G$3)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B-4219-8460-0F96122E9466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'C.Chart'!$A$1</c:f>
              <c:strCache>
                <c:ptCount val="1"/>
                <c:pt idx="0">
                  <c:v>動作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AE-4878-A173-1C825F3EF3AB}"/>
              </c:ext>
            </c:extLst>
          </c:dPt>
          <c:dPt>
            <c:idx val="1"/>
            <c:bubble3D val="0"/>
            <c:spPr>
              <a:solidFill>
                <a:srgbClr val="DE40A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AE-4878-A173-1C825F3EF3AB}"/>
              </c:ext>
            </c:extLst>
          </c:dPt>
          <c:dPt>
            <c:idx val="2"/>
            <c:bubble3D val="0"/>
            <c:spPr>
              <a:solidFill>
                <a:srgbClr val="FF8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AE-4878-A173-1C825F3EF3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('C.Chart'!$B$2,'C.Chart'!$D$2,'C.Chart'!$F$2)</c:f>
              <c:strCache>
                <c:ptCount val="3"/>
                <c:pt idx="0">
                  <c:v>高</c:v>
                </c:pt>
                <c:pt idx="1">
                  <c:v>中</c:v>
                </c:pt>
                <c:pt idx="2">
                  <c:v>低</c:v>
                </c:pt>
              </c:strCache>
            </c:strRef>
          </c:cat>
          <c:val>
            <c:numRef>
              <c:f>('C.Chart'!$I$3,'C.Chart'!$K$3,'C.Chart'!$M$3)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AE-4878-A173-1C825F3EF3AB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3</xdr:row>
      <xdr:rowOff>137160</xdr:rowOff>
    </xdr:from>
    <xdr:to>
      <xdr:col>6</xdr:col>
      <xdr:colOff>845820</xdr:colOff>
      <xdr:row>12</xdr:row>
      <xdr:rowOff>255270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A20667E-DD1D-6395-D1DC-3F0C048FF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3</xdr:row>
      <xdr:rowOff>137160</xdr:rowOff>
    </xdr:from>
    <xdr:to>
      <xdr:col>14</xdr:col>
      <xdr:colOff>137160</xdr:colOff>
      <xdr:row>12</xdr:row>
      <xdr:rowOff>213360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6DB6851-2866-40C1-8E6C-1E4E396AB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CA4C-80D8-4AF0-8829-6B0AA934BA82}">
  <dimension ref="A1:B10"/>
  <sheetViews>
    <sheetView workbookViewId="0">
      <selection activeCell="B25" sqref="B25"/>
    </sheetView>
  </sheetViews>
  <sheetFormatPr defaultRowHeight="16.2"/>
  <cols>
    <col min="1" max="1" width="26.33203125" bestFit="1" customWidth="1"/>
    <col min="2" max="2" width="175.6640625" bestFit="1" customWidth="1"/>
  </cols>
  <sheetData>
    <row r="1" spans="1:2">
      <c r="A1" s="1" t="s">
        <v>0</v>
      </c>
      <c r="B1" s="2" t="s">
        <v>13</v>
      </c>
    </row>
    <row r="2" spans="1:2">
      <c r="A2" s="1" t="s">
        <v>1</v>
      </c>
      <c r="B2" s="2" t="s">
        <v>12</v>
      </c>
    </row>
    <row r="3" spans="1:2">
      <c r="A3" s="1" t="s">
        <v>2</v>
      </c>
      <c r="B3" s="2" t="s">
        <v>14</v>
      </c>
    </row>
    <row r="4" spans="1:2">
      <c r="A4" s="1" t="s">
        <v>3</v>
      </c>
      <c r="B4" s="3">
        <v>45738</v>
      </c>
    </row>
    <row r="5" spans="1:2">
      <c r="A5" s="1" t="s">
        <v>4</v>
      </c>
      <c r="B5" s="2" t="s">
        <v>5</v>
      </c>
    </row>
    <row r="6" spans="1:2">
      <c r="A6" s="1" t="s">
        <v>6</v>
      </c>
      <c r="B6" s="2" t="s">
        <v>15</v>
      </c>
    </row>
    <row r="7" spans="1:2">
      <c r="A7" s="1" t="s">
        <v>7</v>
      </c>
      <c r="B7" s="2" t="s">
        <v>16</v>
      </c>
    </row>
    <row r="8" spans="1:2">
      <c r="A8" s="1" t="s">
        <v>8</v>
      </c>
      <c r="B8" s="4" t="s">
        <v>17</v>
      </c>
    </row>
    <row r="9" spans="1:2">
      <c r="A9" s="1" t="s">
        <v>9</v>
      </c>
      <c r="B9" s="3">
        <v>45738</v>
      </c>
    </row>
    <row r="10" spans="1:2">
      <c r="A10" s="1" t="s">
        <v>10</v>
      </c>
      <c r="B10" s="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2657-31BE-4673-A00D-DE3051816597}">
  <sheetPr>
    <tabColor rgb="FFFFFF00"/>
  </sheetPr>
  <dimension ref="A1:E15"/>
  <sheetViews>
    <sheetView tabSelected="1" topLeftCell="B1" zoomScale="130" zoomScaleNormal="130" workbookViewId="0">
      <selection activeCell="B18" sqref="B18"/>
    </sheetView>
  </sheetViews>
  <sheetFormatPr defaultRowHeight="15.6"/>
  <cols>
    <col min="1" max="1" width="6" style="9" bestFit="1" customWidth="1"/>
    <col min="2" max="2" width="7.5546875" style="22" bestFit="1" customWidth="1"/>
    <col min="3" max="3" width="65.33203125" style="9" bestFit="1" customWidth="1"/>
    <col min="4" max="4" width="7.88671875" style="9" bestFit="1" customWidth="1"/>
    <col min="5" max="5" width="15" style="9" customWidth="1"/>
    <col min="6" max="10" width="8.88671875" style="9"/>
    <col min="11" max="11" width="10.6640625" style="9" bestFit="1" customWidth="1"/>
    <col min="12" max="16384" width="8.88671875" style="9"/>
  </cols>
  <sheetData>
    <row r="1" spans="1:5" ht="33" customHeight="1">
      <c r="A1" s="26" t="s">
        <v>58</v>
      </c>
      <c r="B1" s="24" t="s">
        <v>76</v>
      </c>
      <c r="C1" s="25"/>
      <c r="D1" s="25"/>
      <c r="E1" s="25"/>
    </row>
    <row r="2" spans="1:5">
      <c r="A2" s="26"/>
      <c r="B2" s="6" t="s">
        <v>18</v>
      </c>
      <c r="C2" s="1" t="s">
        <v>23</v>
      </c>
      <c r="D2" s="5" t="s">
        <v>20</v>
      </c>
      <c r="E2" s="1" t="s">
        <v>21</v>
      </c>
    </row>
    <row r="3" spans="1:5">
      <c r="A3" s="26"/>
      <c r="B3" s="6">
        <v>1</v>
      </c>
      <c r="C3" s="1" t="s">
        <v>24</v>
      </c>
      <c r="D3" s="5"/>
      <c r="E3" s="1"/>
    </row>
    <row r="4" spans="1:5">
      <c r="A4" s="26"/>
      <c r="B4" s="6">
        <v>2</v>
      </c>
      <c r="C4" s="1" t="s">
        <v>28</v>
      </c>
      <c r="D4" s="5"/>
      <c r="E4" s="1"/>
    </row>
    <row r="5" spans="1:5">
      <c r="A5" s="26"/>
      <c r="B5" s="6">
        <v>3</v>
      </c>
      <c r="C5" s="1" t="s">
        <v>27</v>
      </c>
      <c r="D5" s="5"/>
      <c r="E5" s="1"/>
    </row>
    <row r="6" spans="1:5">
      <c r="A6" s="26"/>
      <c r="B6" s="6">
        <v>4</v>
      </c>
      <c r="C6" s="1" t="s">
        <v>53</v>
      </c>
      <c r="D6" s="5"/>
      <c r="E6" s="1"/>
    </row>
    <row r="7" spans="1:5">
      <c r="B7" s="9"/>
    </row>
    <row r="8" spans="1:5">
      <c r="A8" s="26" t="s">
        <v>59</v>
      </c>
      <c r="B8" s="24" t="s">
        <v>22</v>
      </c>
      <c r="C8" s="25"/>
      <c r="D8" s="25"/>
      <c r="E8" s="25"/>
    </row>
    <row r="9" spans="1:5">
      <c r="A9" s="26"/>
      <c r="B9" s="6" t="s">
        <v>18</v>
      </c>
      <c r="C9" s="1" t="s">
        <v>23</v>
      </c>
      <c r="D9" s="5" t="s">
        <v>20</v>
      </c>
      <c r="E9" s="1" t="s">
        <v>21</v>
      </c>
    </row>
    <row r="10" spans="1:5">
      <c r="A10" s="26"/>
      <c r="B10" s="6" t="s">
        <v>61</v>
      </c>
      <c r="C10" s="1" t="s">
        <v>73</v>
      </c>
      <c r="D10" s="5"/>
      <c r="E10" s="1"/>
    </row>
    <row r="11" spans="1:5">
      <c r="A11" s="26"/>
      <c r="B11" s="6" t="s">
        <v>62</v>
      </c>
      <c r="C11" s="1" t="s">
        <v>75</v>
      </c>
      <c r="D11" s="5"/>
      <c r="E11" s="1"/>
    </row>
    <row r="12" spans="1:5">
      <c r="A12" s="26"/>
      <c r="B12" s="6" t="s">
        <v>63</v>
      </c>
      <c r="C12" s="1" t="s">
        <v>74</v>
      </c>
      <c r="D12" s="5"/>
      <c r="E12" s="1"/>
    </row>
    <row r="13" spans="1:5">
      <c r="A13" s="26"/>
      <c r="B13" s="6" t="s">
        <v>64</v>
      </c>
      <c r="C13" s="23" t="s">
        <v>77</v>
      </c>
      <c r="D13" s="5"/>
      <c r="E13" s="1"/>
    </row>
    <row r="14" spans="1:5">
      <c r="A14" s="26"/>
      <c r="B14" s="6" t="s">
        <v>65</v>
      </c>
      <c r="C14" s="1"/>
      <c r="D14" s="5"/>
      <c r="E14" s="1"/>
    </row>
    <row r="15" spans="1:5">
      <c r="A15" s="26"/>
      <c r="B15" s="6" t="s">
        <v>66</v>
      </c>
      <c r="C15" s="1"/>
      <c r="D15" s="5"/>
      <c r="E15" s="1"/>
    </row>
  </sheetData>
  <mergeCells count="4">
    <mergeCell ref="B1:E1"/>
    <mergeCell ref="A1:A6"/>
    <mergeCell ref="A8:A15"/>
    <mergeCell ref="B8:E8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86F011E-6E91-47DC-95B3-9A1B3EB5D9CD}">
          <x14:formula1>
            <xm:f>TB_Check!B:B</xm:f>
          </x14:formula1>
          <xm:sqref>D8:D1048576 D1:D6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F7EC-160E-401F-8F36-8BA7ADF568AC}">
  <sheetPr>
    <tabColor rgb="FFFFFF00"/>
  </sheetPr>
  <dimension ref="A1:C13"/>
  <sheetViews>
    <sheetView workbookViewId="0">
      <pane ySplit="1" topLeftCell="A2" activePane="bottomLeft" state="frozen"/>
      <selection pane="bottomLeft" activeCell="B13" sqref="B13"/>
    </sheetView>
  </sheetViews>
  <sheetFormatPr defaultRowHeight="15.6"/>
  <cols>
    <col min="1" max="1" width="7.5546875" style="21" bestFit="1" customWidth="1"/>
    <col min="2" max="2" width="97" style="19" customWidth="1"/>
    <col min="3" max="3" width="7.88671875" style="21" bestFit="1" customWidth="1"/>
    <col min="4" max="16384" width="8.88671875" style="19"/>
  </cols>
  <sheetData>
    <row r="1" spans="1:3">
      <c r="A1" s="16" t="s">
        <v>18</v>
      </c>
      <c r="B1" s="17" t="s">
        <v>19</v>
      </c>
      <c r="C1" s="18" t="s">
        <v>20</v>
      </c>
    </row>
    <row r="2" spans="1:3" ht="31.2">
      <c r="A2" s="16">
        <v>1</v>
      </c>
      <c r="B2" s="20" t="s">
        <v>36</v>
      </c>
      <c r="C2" s="18"/>
    </row>
    <row r="3" spans="1:3" ht="93.6">
      <c r="A3" s="16">
        <v>2</v>
      </c>
      <c r="B3" s="20" t="s">
        <v>37</v>
      </c>
      <c r="C3" s="18"/>
    </row>
    <row r="4" spans="1:3">
      <c r="A4" s="16">
        <v>3</v>
      </c>
      <c r="B4" s="20" t="s">
        <v>38</v>
      </c>
      <c r="C4" s="18"/>
    </row>
    <row r="5" spans="1:3">
      <c r="A5" s="16">
        <v>4</v>
      </c>
      <c r="B5" s="20" t="s">
        <v>39</v>
      </c>
      <c r="C5" s="18"/>
    </row>
    <row r="6" spans="1:3">
      <c r="A6" s="16">
        <v>5</v>
      </c>
      <c r="B6" s="20" t="s">
        <v>40</v>
      </c>
      <c r="C6" s="18"/>
    </row>
    <row r="7" spans="1:3">
      <c r="A7" s="16">
        <v>6</v>
      </c>
      <c r="B7" s="20" t="s">
        <v>41</v>
      </c>
      <c r="C7" s="18"/>
    </row>
    <row r="8" spans="1:3">
      <c r="A8" s="16">
        <v>7</v>
      </c>
      <c r="B8" s="20" t="s">
        <v>42</v>
      </c>
      <c r="C8" s="18"/>
    </row>
    <row r="9" spans="1:3">
      <c r="A9" s="16">
        <v>8</v>
      </c>
      <c r="B9" s="20" t="s">
        <v>43</v>
      </c>
      <c r="C9" s="18"/>
    </row>
    <row r="10" spans="1:3">
      <c r="A10" s="16">
        <v>9</v>
      </c>
      <c r="B10" s="20" t="s">
        <v>44</v>
      </c>
      <c r="C10" s="18"/>
    </row>
    <row r="11" spans="1:3">
      <c r="A11" s="16">
        <v>10</v>
      </c>
      <c r="B11" s="20" t="s">
        <v>45</v>
      </c>
      <c r="C11" s="18"/>
    </row>
    <row r="12" spans="1:3" ht="31.2">
      <c r="A12" s="16">
        <v>11</v>
      </c>
      <c r="B12" s="20" t="s">
        <v>46</v>
      </c>
      <c r="C12" s="18"/>
    </row>
    <row r="13" spans="1:3">
      <c r="A13" s="16">
        <v>12</v>
      </c>
      <c r="B13" s="20" t="s">
        <v>47</v>
      </c>
      <c r="C13" s="18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96C7C651-8FFD-4ED0-BC32-A6C766E15487}">
          <x14:formula1>
            <xm:f>TB_Check!$A:$A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8633-4A00-4023-B9CC-D9D4087646E6}">
  <sheetPr>
    <tabColor rgb="FFFFFF00"/>
  </sheetPr>
  <dimension ref="A1:C18"/>
  <sheetViews>
    <sheetView workbookViewId="0">
      <pane ySplit="1" topLeftCell="A5" activePane="bottomLeft" state="frozen"/>
      <selection pane="bottomLeft" activeCell="B14" sqref="B14"/>
    </sheetView>
  </sheetViews>
  <sheetFormatPr defaultRowHeight="15.6"/>
  <cols>
    <col min="1" max="1" width="7.5546875" style="15" bestFit="1" customWidth="1"/>
    <col min="2" max="2" width="71.5546875" style="13" customWidth="1"/>
    <col min="3" max="3" width="16.21875" style="15" customWidth="1"/>
    <col min="4" max="16384" width="8.88671875" style="13"/>
  </cols>
  <sheetData>
    <row r="1" spans="1:3">
      <c r="A1" s="10" t="s">
        <v>18</v>
      </c>
      <c r="B1" s="11" t="s">
        <v>19</v>
      </c>
      <c r="C1" s="12" t="s">
        <v>20</v>
      </c>
    </row>
    <row r="2" spans="1:3" ht="31.2">
      <c r="A2" s="10">
        <v>1</v>
      </c>
      <c r="B2" s="14" t="s">
        <v>29</v>
      </c>
      <c r="C2" s="12"/>
    </row>
    <row r="3" spans="1:3" ht="31.2">
      <c r="A3" s="10">
        <v>2</v>
      </c>
      <c r="B3" s="14" t="s">
        <v>30</v>
      </c>
      <c r="C3" s="12"/>
    </row>
    <row r="4" spans="1:3" ht="31.2">
      <c r="A4" s="10">
        <v>3</v>
      </c>
      <c r="B4" s="14" t="s">
        <v>31</v>
      </c>
      <c r="C4" s="12"/>
    </row>
    <row r="5" spans="1:3" ht="46.8">
      <c r="A5" s="10">
        <v>4</v>
      </c>
      <c r="B5" s="14" t="s">
        <v>32</v>
      </c>
      <c r="C5" s="12"/>
    </row>
    <row r="6" spans="1:3">
      <c r="A6" s="10">
        <v>5</v>
      </c>
      <c r="B6" s="14" t="s">
        <v>33</v>
      </c>
      <c r="C6" s="12"/>
    </row>
    <row r="7" spans="1:3" ht="31.2">
      <c r="A7" s="10">
        <v>6</v>
      </c>
      <c r="B7" s="14" t="s">
        <v>34</v>
      </c>
      <c r="C7" s="12"/>
    </row>
    <row r="8" spans="1:3" ht="46.8">
      <c r="A8" s="10">
        <v>7</v>
      </c>
      <c r="B8" s="14" t="s">
        <v>56</v>
      </c>
      <c r="C8" s="12"/>
    </row>
    <row r="9" spans="1:3" ht="62.4">
      <c r="A9" s="10">
        <v>8</v>
      </c>
      <c r="B9" s="14" t="s">
        <v>55</v>
      </c>
      <c r="C9" s="12"/>
    </row>
    <row r="10" spans="1:3">
      <c r="A10" s="13"/>
      <c r="C10" s="13"/>
    </row>
    <row r="11" spans="1:3">
      <c r="A11" s="13"/>
      <c r="C11" s="13"/>
    </row>
    <row r="12" spans="1:3">
      <c r="A12" s="13"/>
      <c r="C12" s="13"/>
    </row>
    <row r="13" spans="1:3">
      <c r="A13" s="13"/>
      <c r="C13" s="13"/>
    </row>
    <row r="14" spans="1:3">
      <c r="A14" s="13"/>
      <c r="C14" s="13"/>
    </row>
    <row r="15" spans="1:3">
      <c r="A15" s="13"/>
      <c r="C15" s="13"/>
    </row>
    <row r="17" spans="2:2" ht="31.2">
      <c r="B17" s="14" t="s">
        <v>35</v>
      </c>
    </row>
    <row r="18" spans="2:2">
      <c r="B18" s="13" t="s">
        <v>52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1371E935-C35A-42C3-BF07-0378446F1F50}">
          <x14:formula1>
            <xm:f>TB_Check!$A:$A</xm:f>
          </x14:formula1>
          <xm:sqref>C16:C1048576 C1:C9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BB25-FA3E-467F-B840-01390C8FD03B}">
  <sheetPr>
    <tabColor rgb="FFFFFF00"/>
  </sheetPr>
  <dimension ref="A1:C10"/>
  <sheetViews>
    <sheetView zoomScaleNormal="100" workbookViewId="0">
      <pane ySplit="1" topLeftCell="A2" activePane="bottomLeft" state="frozen"/>
      <selection pane="bottomLeft" activeCell="B9" sqref="B9"/>
    </sheetView>
  </sheetViews>
  <sheetFormatPr defaultRowHeight="15.6"/>
  <cols>
    <col min="1" max="1" width="7.5546875" style="21" bestFit="1" customWidth="1"/>
    <col min="2" max="2" width="74.44140625" style="19" bestFit="1" customWidth="1"/>
    <col min="3" max="3" width="7.88671875" style="21" bestFit="1" customWidth="1"/>
    <col min="4" max="16384" width="8.88671875" style="19"/>
  </cols>
  <sheetData>
    <row r="1" spans="1:3">
      <c r="A1" s="16" t="s">
        <v>18</v>
      </c>
      <c r="B1" s="17" t="s">
        <v>19</v>
      </c>
      <c r="C1" s="18" t="s">
        <v>20</v>
      </c>
    </row>
    <row r="2" spans="1:3">
      <c r="A2" s="16">
        <v>1</v>
      </c>
      <c r="B2" s="20" t="s">
        <v>49</v>
      </c>
      <c r="C2" s="18"/>
    </row>
    <row r="3" spans="1:3">
      <c r="A3" s="16">
        <v>2</v>
      </c>
      <c r="B3" s="20" t="s">
        <v>50</v>
      </c>
      <c r="C3" s="18"/>
    </row>
    <row r="4" spans="1:3" ht="46.8">
      <c r="A4" s="16">
        <v>3</v>
      </c>
      <c r="B4" s="20" t="s">
        <v>51</v>
      </c>
      <c r="C4" s="18"/>
    </row>
    <row r="5" spans="1:3" ht="46.8">
      <c r="A5" s="16">
        <v>4</v>
      </c>
      <c r="B5" s="20" t="s">
        <v>54</v>
      </c>
      <c r="C5" s="18"/>
    </row>
    <row r="6" spans="1:3" ht="31.2">
      <c r="A6" s="16">
        <v>5</v>
      </c>
      <c r="B6" s="20" t="s">
        <v>57</v>
      </c>
      <c r="C6" s="18"/>
    </row>
    <row r="9" spans="1:3" ht="31.2">
      <c r="B9" s="14" t="s">
        <v>35</v>
      </c>
    </row>
    <row r="10" spans="1:3">
      <c r="B10" s="13" t="s">
        <v>52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E8B44E26-B5FB-4434-8DF3-A603DC3E4C0C}">
          <x14:formula1>
            <xm:f>TB_Check!$A:$A</xm:f>
          </x14:formula1>
          <xm:sqref>C1:C1048576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D721-6C4E-491B-B6FC-DB00204CC977}">
  <sheetPr>
    <tabColor rgb="FFFFFF00"/>
  </sheetPr>
  <dimension ref="A1:C13"/>
  <sheetViews>
    <sheetView zoomScaleNormal="100" workbookViewId="0">
      <pane ySplit="1" topLeftCell="A2" activePane="bottomLeft" state="frozen"/>
      <selection pane="bottomLeft" activeCell="A8" sqref="A8"/>
    </sheetView>
  </sheetViews>
  <sheetFormatPr defaultRowHeight="15.6"/>
  <cols>
    <col min="1" max="1" width="7.5546875" style="21" bestFit="1" customWidth="1"/>
    <col min="2" max="2" width="97" style="19" customWidth="1"/>
    <col min="3" max="3" width="7.88671875" style="21" bestFit="1" customWidth="1"/>
    <col min="4" max="16384" width="8.88671875" style="19"/>
  </cols>
  <sheetData>
    <row r="1" spans="1:3">
      <c r="A1" s="16" t="s">
        <v>18</v>
      </c>
      <c r="B1" s="17" t="s">
        <v>19</v>
      </c>
      <c r="C1" s="18" t="s">
        <v>20</v>
      </c>
    </row>
    <row r="2" spans="1:3" ht="31.2">
      <c r="A2" s="16">
        <v>1</v>
      </c>
      <c r="B2" s="20" t="s">
        <v>48</v>
      </c>
      <c r="C2" s="18"/>
    </row>
    <row r="3" spans="1:3" ht="46.8">
      <c r="A3" s="16">
        <v>2</v>
      </c>
      <c r="B3" s="20" t="s">
        <v>71</v>
      </c>
      <c r="C3" s="18"/>
    </row>
    <row r="4" spans="1:3" ht="46.8">
      <c r="A4" s="16">
        <v>3</v>
      </c>
      <c r="B4" s="20" t="s">
        <v>72</v>
      </c>
      <c r="C4" s="18"/>
    </row>
    <row r="5" spans="1:3" ht="31.2">
      <c r="A5" s="16">
        <v>4</v>
      </c>
      <c r="B5" s="20" t="s">
        <v>60</v>
      </c>
      <c r="C5" s="18"/>
    </row>
    <row r="6" spans="1:3">
      <c r="B6" s="21"/>
    </row>
    <row r="7" spans="1:3">
      <c r="B7" s="21"/>
    </row>
    <row r="8" spans="1:3">
      <c r="B8" s="21"/>
    </row>
    <row r="9" spans="1:3">
      <c r="B9" s="21"/>
    </row>
    <row r="10" spans="1:3">
      <c r="B10" s="21"/>
    </row>
    <row r="11" spans="1:3">
      <c r="B11" s="21"/>
    </row>
    <row r="12" spans="1:3">
      <c r="B12" s="21"/>
    </row>
    <row r="13" spans="1:3">
      <c r="B13" s="2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EB23A039-2AE1-4D9C-B4EC-60C63B7ECD28}">
          <x14:formula1>
            <xm:f>TB_Check!$A:$A</xm:f>
          </x14:formula1>
          <xm:sqref>C1:C5 C14:C1048576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D2F6-2289-4C63-A8A4-49EBA164F06A}">
  <sheetPr>
    <tabColor rgb="FFFFFF00"/>
  </sheetPr>
  <dimension ref="A1:D14"/>
  <sheetViews>
    <sheetView topLeftCell="B1" zoomScaleNormal="100" workbookViewId="0">
      <pane ySplit="1" topLeftCell="A2" activePane="bottomLeft" state="frozen"/>
      <selection pane="bottomLeft" activeCell="B14" sqref="B14"/>
    </sheetView>
  </sheetViews>
  <sheetFormatPr defaultRowHeight="15.6"/>
  <cols>
    <col min="1" max="1" width="7.5546875" style="21" bestFit="1" customWidth="1"/>
    <col min="2" max="2" width="97" style="19" customWidth="1"/>
    <col min="3" max="3" width="7.88671875" style="21" bestFit="1" customWidth="1"/>
    <col min="4" max="16384" width="8.88671875" style="19"/>
  </cols>
  <sheetData>
    <row r="1" spans="1:4">
      <c r="A1" s="16" t="s">
        <v>18</v>
      </c>
      <c r="B1" s="17" t="s">
        <v>19</v>
      </c>
      <c r="C1" s="18" t="s">
        <v>20</v>
      </c>
    </row>
    <row r="2" spans="1:4" ht="46.8">
      <c r="A2" s="16">
        <v>1</v>
      </c>
      <c r="B2" s="20" t="s">
        <v>67</v>
      </c>
      <c r="C2" s="18"/>
    </row>
    <row r="3" spans="1:4" ht="46.8">
      <c r="A3" s="16">
        <v>2</v>
      </c>
      <c r="B3" s="20" t="s">
        <v>68</v>
      </c>
      <c r="C3" s="18"/>
    </row>
    <row r="4" spans="1:4" ht="46.8">
      <c r="A4" s="16">
        <v>3</v>
      </c>
      <c r="B4" s="20" t="s">
        <v>78</v>
      </c>
      <c r="C4" s="18"/>
    </row>
    <row r="5" spans="1:4" ht="46.8">
      <c r="A5" s="16">
        <v>4</v>
      </c>
      <c r="B5" s="20" t="s">
        <v>69</v>
      </c>
      <c r="C5" s="18"/>
    </row>
    <row r="6" spans="1:4" ht="31.2">
      <c r="A6" s="16">
        <v>5</v>
      </c>
      <c r="B6" s="20" t="s">
        <v>70</v>
      </c>
      <c r="C6" s="18"/>
    </row>
    <row r="7" spans="1:4">
      <c r="B7" s="21"/>
      <c r="D7" s="21"/>
    </row>
    <row r="8" spans="1:4">
      <c r="B8" s="21"/>
      <c r="D8" s="21"/>
    </row>
    <row r="9" spans="1:4">
      <c r="B9" s="21"/>
      <c r="D9" s="21"/>
    </row>
    <row r="10" spans="1:4">
      <c r="B10" s="21"/>
      <c r="D10" s="21"/>
    </row>
    <row r="11" spans="1:4">
      <c r="B11" s="21"/>
      <c r="D11" s="21"/>
    </row>
    <row r="12" spans="1:4">
      <c r="B12" s="21"/>
      <c r="D12" s="21"/>
    </row>
    <row r="13" spans="1:4">
      <c r="B13" s="21"/>
      <c r="D13" s="21"/>
    </row>
    <row r="14" spans="1:4">
      <c r="B14" s="21"/>
      <c r="D14" s="2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58990D48-3D98-4FF9-B4D3-F2D4351AFA99}">
          <x14:formula1>
            <xm:f>TB_Check!$A:$A</xm:f>
          </x14:formula1>
          <xm:sqref>C1:C6 C15:C1048576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6CB3-AB72-4C57-B773-B0F82B0D9C2B}">
  <sheetPr>
    <tabColor rgb="FFFFFF00"/>
  </sheetPr>
  <dimension ref="A1:C11"/>
  <sheetViews>
    <sheetView topLeftCell="B1" zoomScale="115" zoomScaleNormal="115" workbookViewId="0">
      <pane ySplit="1" topLeftCell="A2" activePane="bottomLeft" state="frozen"/>
      <selection pane="bottomLeft" activeCell="B9" sqref="B9"/>
    </sheetView>
  </sheetViews>
  <sheetFormatPr defaultRowHeight="15.6"/>
  <cols>
    <col min="1" max="1" width="7.5546875" style="21" bestFit="1" customWidth="1"/>
    <col min="2" max="2" width="97" style="19" customWidth="1"/>
    <col min="3" max="3" width="7.88671875" style="21" bestFit="1" customWidth="1"/>
    <col min="4" max="16384" width="8.88671875" style="19"/>
  </cols>
  <sheetData>
    <row r="1" spans="1:3">
      <c r="A1" s="16" t="s">
        <v>18</v>
      </c>
      <c r="B1" s="17" t="s">
        <v>19</v>
      </c>
      <c r="C1" s="18" t="s">
        <v>20</v>
      </c>
    </row>
    <row r="2" spans="1:3" ht="31.2">
      <c r="A2" s="16">
        <v>1</v>
      </c>
      <c r="B2" s="20" t="s">
        <v>86</v>
      </c>
      <c r="C2" s="18"/>
    </row>
    <row r="3" spans="1:3" ht="31.2">
      <c r="A3" s="16">
        <v>2</v>
      </c>
      <c r="B3" s="20" t="s">
        <v>84</v>
      </c>
      <c r="C3" s="18"/>
    </row>
    <row r="4" spans="1:3" ht="31.2">
      <c r="A4" s="16">
        <v>3</v>
      </c>
      <c r="B4" s="20" t="s">
        <v>82</v>
      </c>
      <c r="C4" s="18"/>
    </row>
    <row r="5" spans="1:3" ht="31.2">
      <c r="A5" s="16">
        <v>4</v>
      </c>
      <c r="B5" s="20" t="s">
        <v>80</v>
      </c>
      <c r="C5" s="18"/>
    </row>
    <row r="6" spans="1:3" ht="31.2">
      <c r="A6" s="16">
        <v>5</v>
      </c>
      <c r="B6" s="20" t="s">
        <v>79</v>
      </c>
      <c r="C6" s="18"/>
    </row>
    <row r="7" spans="1:3" ht="31.2">
      <c r="A7" s="16">
        <v>6</v>
      </c>
      <c r="B7" s="20" t="s">
        <v>81</v>
      </c>
      <c r="C7" s="18"/>
    </row>
    <row r="8" spans="1:3" ht="31.2">
      <c r="A8" s="16">
        <v>7</v>
      </c>
      <c r="B8" s="20" t="s">
        <v>87</v>
      </c>
      <c r="C8" s="18"/>
    </row>
    <row r="9" spans="1:3" ht="46.8">
      <c r="A9" s="16">
        <v>8</v>
      </c>
      <c r="B9" s="20" t="s">
        <v>88</v>
      </c>
      <c r="C9" s="18"/>
    </row>
    <row r="10" spans="1:3" ht="31.2">
      <c r="A10" s="16">
        <v>9</v>
      </c>
      <c r="B10" s="20" t="s">
        <v>83</v>
      </c>
      <c r="C10" s="18"/>
    </row>
    <row r="11" spans="1:3" ht="31.2">
      <c r="A11" s="16">
        <v>10</v>
      </c>
      <c r="B11" s="20" t="s">
        <v>85</v>
      </c>
      <c r="C11" s="18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A899F993-9B55-4798-A1F8-A94D417A964F}">
          <x14:formula1>
            <xm:f>TB_Check!$A:$A</xm:f>
          </x14:formula1>
          <xm:sqref>C1:C1048576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FC05-9135-487F-8F69-4B4A0E200EC8}">
  <sheetPr>
    <tabColor rgb="FFFFFF00"/>
  </sheetPr>
  <dimension ref="A1:O63"/>
  <sheetViews>
    <sheetView zoomScale="70" zoomScaleNormal="70" workbookViewId="0">
      <pane ySplit="1" topLeftCell="A2" activePane="bottomLeft" state="frozen"/>
      <selection pane="bottomLeft" activeCell="L9" sqref="L9"/>
    </sheetView>
  </sheetViews>
  <sheetFormatPr defaultRowHeight="21"/>
  <cols>
    <col min="1" max="1" width="7.33203125" style="21" bestFit="1" customWidth="1"/>
    <col min="2" max="2" width="11.77734375" style="19" bestFit="1" customWidth="1"/>
    <col min="3" max="3" width="6.21875" style="19" bestFit="1" customWidth="1"/>
    <col min="4" max="4" width="10.6640625" style="19" bestFit="1" customWidth="1"/>
    <col min="5" max="5" width="37.44140625" style="19" customWidth="1"/>
    <col min="6" max="6" width="19.5546875" style="19" customWidth="1"/>
    <col min="7" max="7" width="10.6640625" style="19" customWidth="1"/>
    <col min="8" max="8" width="28.21875" style="19" bestFit="1" customWidth="1"/>
    <col min="9" max="9" width="19.44140625" style="19" bestFit="1" customWidth="1"/>
    <col min="10" max="10" width="21.88671875" style="34" bestFit="1" customWidth="1"/>
    <col min="11" max="11" width="25.44140625" style="34" bestFit="1" customWidth="1"/>
    <col min="12" max="12" width="30.44140625" style="19" customWidth="1"/>
    <col min="13" max="13" width="10.44140625" style="19" bestFit="1" customWidth="1"/>
    <col min="14" max="14" width="8.88671875" style="19"/>
    <col min="15" max="15" width="7.77734375" style="21" bestFit="1" customWidth="1"/>
    <col min="16" max="16384" width="8.88671875" style="19"/>
  </cols>
  <sheetData>
    <row r="1" spans="1:15" ht="62.4">
      <c r="A1" s="31" t="s">
        <v>18</v>
      </c>
      <c r="B1" s="31" t="s">
        <v>89</v>
      </c>
      <c r="C1" s="31" t="s">
        <v>90</v>
      </c>
      <c r="D1" s="31" t="s">
        <v>91</v>
      </c>
      <c r="E1" s="31" t="s">
        <v>113</v>
      </c>
      <c r="F1" s="31" t="s">
        <v>114</v>
      </c>
      <c r="G1" s="35" t="s">
        <v>118</v>
      </c>
      <c r="H1" s="32" t="s">
        <v>93</v>
      </c>
      <c r="I1" s="32" t="s">
        <v>107</v>
      </c>
      <c r="J1" s="32" t="s">
        <v>152</v>
      </c>
      <c r="K1" s="32" t="s">
        <v>96</v>
      </c>
      <c r="L1" s="32" t="s">
        <v>94</v>
      </c>
      <c r="M1" s="32" t="s">
        <v>95</v>
      </c>
      <c r="N1" s="50" t="s">
        <v>155</v>
      </c>
      <c r="O1" s="18" t="s">
        <v>20</v>
      </c>
    </row>
    <row r="2" spans="1:15" ht="31.2">
      <c r="A2" s="16">
        <v>1</v>
      </c>
      <c r="B2" s="30" t="s">
        <v>109</v>
      </c>
      <c r="C2" s="30" t="s">
        <v>110</v>
      </c>
      <c r="D2" s="30" t="s">
        <v>111</v>
      </c>
      <c r="E2" s="30" t="s">
        <v>112</v>
      </c>
      <c r="F2" s="30" t="s">
        <v>115</v>
      </c>
      <c r="G2" s="30" t="s">
        <v>121</v>
      </c>
      <c r="H2" s="30" t="s">
        <v>128</v>
      </c>
      <c r="I2" s="30" t="s">
        <v>104</v>
      </c>
      <c r="J2" s="33" t="s">
        <v>100</v>
      </c>
      <c r="K2" s="33" t="s">
        <v>97</v>
      </c>
      <c r="L2" s="30" t="s">
        <v>116</v>
      </c>
      <c r="M2" s="30" t="s">
        <v>117</v>
      </c>
      <c r="N2" s="49"/>
      <c r="O2" s="18"/>
    </row>
    <row r="3" spans="1:15" ht="46.8">
      <c r="A3" s="16">
        <v>2</v>
      </c>
      <c r="B3" s="30" t="s">
        <v>109</v>
      </c>
      <c r="C3" s="30" t="s">
        <v>110</v>
      </c>
      <c r="D3" s="30" t="s">
        <v>111</v>
      </c>
      <c r="E3" s="30" t="s">
        <v>129</v>
      </c>
      <c r="F3" s="30" t="s">
        <v>130</v>
      </c>
      <c r="G3" s="30" t="s">
        <v>125</v>
      </c>
      <c r="H3" s="30" t="s">
        <v>128</v>
      </c>
      <c r="I3" s="30" t="s">
        <v>104</v>
      </c>
      <c r="J3" s="33" t="s">
        <v>100</v>
      </c>
      <c r="K3" s="33" t="s">
        <v>97</v>
      </c>
      <c r="L3" s="30" t="s">
        <v>102</v>
      </c>
      <c r="M3" s="38" t="s">
        <v>149</v>
      </c>
      <c r="N3" s="49"/>
      <c r="O3" s="18"/>
    </row>
    <row r="4" spans="1:15" ht="31.2">
      <c r="A4" s="16">
        <v>3</v>
      </c>
      <c r="B4" s="30" t="s">
        <v>109</v>
      </c>
      <c r="C4" s="30" t="s">
        <v>110</v>
      </c>
      <c r="D4" s="30" t="s">
        <v>142</v>
      </c>
      <c r="E4" s="30" t="s">
        <v>143</v>
      </c>
      <c r="F4" s="30" t="s">
        <v>146</v>
      </c>
      <c r="G4" s="30" t="s">
        <v>119</v>
      </c>
      <c r="H4" s="30" t="s">
        <v>147</v>
      </c>
      <c r="I4" s="30" t="s">
        <v>104</v>
      </c>
      <c r="J4" s="33" t="s">
        <v>100</v>
      </c>
      <c r="K4" s="33" t="s">
        <v>100</v>
      </c>
      <c r="L4" s="30" t="s">
        <v>148</v>
      </c>
      <c r="M4" s="30" t="s">
        <v>150</v>
      </c>
      <c r="N4" s="49"/>
      <c r="O4" s="18"/>
    </row>
    <row r="5" spans="1:15" ht="31.2">
      <c r="A5" s="16">
        <v>4</v>
      </c>
      <c r="B5" s="30" t="s">
        <v>109</v>
      </c>
      <c r="C5" s="30" t="s">
        <v>110</v>
      </c>
      <c r="D5" s="30" t="s">
        <v>142</v>
      </c>
      <c r="E5" s="30" t="s">
        <v>151</v>
      </c>
      <c r="F5" s="30" t="s">
        <v>146</v>
      </c>
      <c r="G5" s="30" t="s">
        <v>119</v>
      </c>
      <c r="H5" s="30" t="s">
        <v>147</v>
      </c>
      <c r="I5" s="30" t="s">
        <v>104</v>
      </c>
      <c r="J5" s="33" t="s">
        <v>100</v>
      </c>
      <c r="K5" s="33" t="s">
        <v>100</v>
      </c>
      <c r="L5" s="30" t="s">
        <v>148</v>
      </c>
      <c r="M5" s="30" t="s">
        <v>150</v>
      </c>
      <c r="N5" s="49"/>
      <c r="O5" s="18"/>
    </row>
    <row r="6" spans="1:15">
      <c r="A6" s="16"/>
      <c r="B6" s="30"/>
      <c r="C6" s="30"/>
      <c r="D6" s="30"/>
      <c r="E6" s="30"/>
      <c r="F6" s="30"/>
      <c r="G6" s="30"/>
      <c r="H6" s="30"/>
      <c r="I6" s="30"/>
      <c r="J6" s="33"/>
      <c r="K6" s="33"/>
      <c r="L6" s="30"/>
      <c r="M6" s="30"/>
      <c r="N6" s="49"/>
      <c r="O6" s="18"/>
    </row>
    <row r="7" spans="1:15">
      <c r="A7" s="16"/>
      <c r="B7" s="30"/>
      <c r="C7" s="30"/>
      <c r="D7" s="30"/>
      <c r="E7" s="30"/>
      <c r="F7" s="30"/>
      <c r="G7" s="30"/>
      <c r="H7" s="30"/>
      <c r="I7" s="30"/>
      <c r="J7" s="33"/>
      <c r="K7" s="33"/>
      <c r="L7" s="30"/>
      <c r="M7" s="30"/>
      <c r="N7" s="49"/>
      <c r="O7" s="18"/>
    </row>
    <row r="8" spans="1:15">
      <c r="A8" s="16"/>
      <c r="B8" s="30"/>
      <c r="C8" s="30"/>
      <c r="D8" s="30"/>
      <c r="E8" s="30"/>
      <c r="F8" s="30"/>
      <c r="G8" s="30"/>
      <c r="H8" s="30"/>
      <c r="I8" s="30"/>
      <c r="J8" s="33"/>
      <c r="K8" s="33"/>
      <c r="L8" s="30"/>
      <c r="M8" s="30"/>
      <c r="N8" s="49"/>
      <c r="O8" s="18"/>
    </row>
    <row r="9" spans="1:15">
      <c r="A9" s="16"/>
      <c r="B9" s="30"/>
      <c r="C9" s="30"/>
      <c r="D9" s="30"/>
      <c r="E9" s="30"/>
      <c r="F9" s="30"/>
      <c r="G9" s="30"/>
      <c r="H9" s="30"/>
      <c r="I9" s="30"/>
      <c r="J9" s="33"/>
      <c r="K9" s="33"/>
      <c r="L9" s="30"/>
      <c r="M9" s="30"/>
      <c r="N9" s="49"/>
      <c r="O9" s="18"/>
    </row>
    <row r="10" spans="1:15">
      <c r="A10" s="16"/>
      <c r="B10" s="30"/>
      <c r="C10" s="30"/>
      <c r="D10" s="30"/>
      <c r="E10" s="30"/>
      <c r="F10" s="30"/>
      <c r="G10" s="30"/>
      <c r="H10" s="30"/>
      <c r="I10" s="30"/>
      <c r="J10" s="33"/>
      <c r="K10" s="33"/>
      <c r="L10" s="30"/>
      <c r="M10" s="30"/>
      <c r="N10" s="49"/>
      <c r="O10" s="18"/>
    </row>
    <row r="11" spans="1:15">
      <c r="A11" s="16"/>
      <c r="B11" s="30"/>
      <c r="C11" s="30"/>
      <c r="D11" s="30"/>
      <c r="E11" s="30"/>
      <c r="F11" s="30"/>
      <c r="G11" s="30"/>
      <c r="H11" s="30"/>
      <c r="I11" s="30"/>
      <c r="J11" s="33"/>
      <c r="K11" s="33"/>
      <c r="L11" s="30"/>
      <c r="M11" s="30"/>
      <c r="N11" s="49"/>
      <c r="O11" s="18"/>
    </row>
    <row r="12" spans="1:15">
      <c r="A12" s="16"/>
      <c r="B12" s="30"/>
      <c r="C12" s="30"/>
      <c r="D12" s="30"/>
      <c r="E12" s="30"/>
      <c r="F12" s="30"/>
      <c r="G12" s="30"/>
      <c r="H12" s="30"/>
      <c r="I12" s="30"/>
      <c r="J12" s="33"/>
      <c r="K12" s="33"/>
      <c r="L12" s="30"/>
      <c r="M12" s="30"/>
      <c r="N12" s="49"/>
      <c r="O12" s="18"/>
    </row>
    <row r="13" spans="1:15">
      <c r="A13" s="16"/>
      <c r="B13" s="30"/>
      <c r="C13" s="30"/>
      <c r="D13" s="30"/>
      <c r="E13" s="30"/>
      <c r="F13" s="30"/>
      <c r="G13" s="30"/>
      <c r="H13" s="30"/>
      <c r="I13" s="30"/>
      <c r="J13" s="33"/>
      <c r="K13" s="33"/>
      <c r="L13" s="30"/>
      <c r="M13" s="30"/>
      <c r="N13" s="49"/>
      <c r="O13" s="18"/>
    </row>
    <row r="14" spans="1:15">
      <c r="A14" s="16"/>
      <c r="B14" s="30"/>
      <c r="C14" s="30"/>
      <c r="D14" s="30"/>
      <c r="E14" s="30"/>
      <c r="F14" s="30"/>
      <c r="G14" s="30"/>
      <c r="H14" s="30"/>
      <c r="I14" s="30"/>
      <c r="J14" s="33"/>
      <c r="K14" s="33"/>
      <c r="L14" s="30"/>
      <c r="M14" s="30"/>
      <c r="N14" s="49"/>
      <c r="O14" s="18"/>
    </row>
    <row r="15" spans="1:15">
      <c r="A15" s="16"/>
      <c r="B15" s="30"/>
      <c r="C15" s="30"/>
      <c r="D15" s="30"/>
      <c r="E15" s="30"/>
      <c r="F15" s="30"/>
      <c r="G15" s="30"/>
      <c r="H15" s="30"/>
      <c r="I15" s="30"/>
      <c r="J15" s="33"/>
      <c r="K15" s="33"/>
      <c r="L15" s="30"/>
      <c r="M15" s="30"/>
      <c r="N15" s="49"/>
      <c r="O15" s="18"/>
    </row>
    <row r="16" spans="1:15">
      <c r="A16" s="16"/>
      <c r="B16" s="30"/>
      <c r="C16" s="30"/>
      <c r="D16" s="30"/>
      <c r="E16" s="30"/>
      <c r="F16" s="30"/>
      <c r="G16" s="30"/>
      <c r="H16" s="30"/>
      <c r="I16" s="30"/>
      <c r="J16" s="33"/>
      <c r="K16" s="33"/>
      <c r="L16" s="30"/>
      <c r="M16" s="30"/>
      <c r="N16" s="49"/>
      <c r="O16" s="18"/>
    </row>
    <row r="17" spans="1:15">
      <c r="A17" s="16"/>
      <c r="B17" s="30"/>
      <c r="C17" s="30"/>
      <c r="D17" s="30"/>
      <c r="E17" s="30"/>
      <c r="F17" s="30"/>
      <c r="G17" s="30"/>
      <c r="H17" s="30"/>
      <c r="I17" s="30"/>
      <c r="J17" s="33"/>
      <c r="K17" s="33"/>
      <c r="L17" s="30"/>
      <c r="M17" s="30"/>
      <c r="N17" s="49"/>
      <c r="O17" s="18"/>
    </row>
    <row r="18" spans="1:15">
      <c r="A18" s="16"/>
      <c r="B18" s="30"/>
      <c r="C18" s="30"/>
      <c r="D18" s="30"/>
      <c r="E18" s="30"/>
      <c r="F18" s="30"/>
      <c r="G18" s="30"/>
      <c r="H18" s="30"/>
      <c r="I18" s="30"/>
      <c r="J18" s="33"/>
      <c r="K18" s="33"/>
      <c r="L18" s="30"/>
      <c r="M18" s="30"/>
      <c r="N18" s="49"/>
      <c r="O18" s="18"/>
    </row>
    <row r="19" spans="1:15">
      <c r="A19" s="16"/>
      <c r="B19" s="30"/>
      <c r="C19" s="30"/>
      <c r="D19" s="30"/>
      <c r="E19" s="30"/>
      <c r="F19" s="30"/>
      <c r="G19" s="30"/>
      <c r="H19" s="30"/>
      <c r="I19" s="30"/>
      <c r="J19" s="33"/>
      <c r="K19" s="33"/>
      <c r="L19" s="30"/>
      <c r="M19" s="30"/>
      <c r="N19" s="49"/>
      <c r="O19" s="18"/>
    </row>
    <row r="20" spans="1:15">
      <c r="A20" s="16"/>
      <c r="B20" s="30"/>
      <c r="C20" s="30"/>
      <c r="D20" s="30"/>
      <c r="E20" s="30"/>
      <c r="F20" s="30"/>
      <c r="G20" s="30"/>
      <c r="H20" s="30"/>
      <c r="I20" s="30"/>
      <c r="J20" s="33"/>
      <c r="K20" s="33"/>
      <c r="L20" s="30"/>
      <c r="M20" s="30"/>
      <c r="N20" s="49"/>
      <c r="O20" s="18"/>
    </row>
    <row r="21" spans="1:15">
      <c r="A21" s="16"/>
      <c r="B21" s="30"/>
      <c r="C21" s="30"/>
      <c r="D21" s="30"/>
      <c r="E21" s="30"/>
      <c r="F21" s="30"/>
      <c r="G21" s="30"/>
      <c r="H21" s="30"/>
      <c r="I21" s="30"/>
      <c r="J21" s="33"/>
      <c r="K21" s="33"/>
      <c r="L21" s="30"/>
      <c r="M21" s="30"/>
      <c r="N21" s="49"/>
      <c r="O21" s="18"/>
    </row>
    <row r="22" spans="1:15">
      <c r="A22" s="16"/>
      <c r="B22" s="30"/>
      <c r="C22" s="30"/>
      <c r="D22" s="30"/>
      <c r="E22" s="30"/>
      <c r="F22" s="30"/>
      <c r="G22" s="30"/>
      <c r="H22" s="30"/>
      <c r="I22" s="30"/>
      <c r="J22" s="33"/>
      <c r="K22" s="33"/>
      <c r="L22" s="30"/>
      <c r="M22" s="30"/>
      <c r="N22" s="49"/>
      <c r="O22" s="18"/>
    </row>
    <row r="23" spans="1:15">
      <c r="A23" s="16"/>
      <c r="B23" s="30"/>
      <c r="C23" s="30"/>
      <c r="D23" s="30"/>
      <c r="E23" s="30"/>
      <c r="F23" s="30"/>
      <c r="G23" s="30"/>
      <c r="H23" s="30"/>
      <c r="I23" s="30"/>
      <c r="J23" s="33"/>
      <c r="K23" s="33"/>
      <c r="L23" s="30"/>
      <c r="M23" s="30"/>
      <c r="N23" s="49"/>
      <c r="O23" s="18"/>
    </row>
    <row r="24" spans="1:15">
      <c r="A24" s="16"/>
      <c r="B24" s="30"/>
      <c r="C24" s="30"/>
      <c r="D24" s="30"/>
      <c r="E24" s="30"/>
      <c r="F24" s="30"/>
      <c r="G24" s="30"/>
      <c r="H24" s="30"/>
      <c r="I24" s="30"/>
      <c r="J24" s="33"/>
      <c r="K24" s="33"/>
      <c r="L24" s="30"/>
      <c r="M24" s="30"/>
      <c r="N24" s="49"/>
      <c r="O24" s="18"/>
    </row>
    <row r="25" spans="1:15">
      <c r="A25" s="16"/>
      <c r="B25" s="30"/>
      <c r="C25" s="30"/>
      <c r="D25" s="30"/>
      <c r="E25" s="30"/>
      <c r="F25" s="30"/>
      <c r="G25" s="30"/>
      <c r="H25" s="30"/>
      <c r="I25" s="30"/>
      <c r="J25" s="33"/>
      <c r="K25" s="33"/>
      <c r="L25" s="30"/>
      <c r="M25" s="30"/>
      <c r="N25" s="49"/>
      <c r="O25" s="18"/>
    </row>
    <row r="26" spans="1:15">
      <c r="A26" s="16"/>
      <c r="B26" s="30"/>
      <c r="C26" s="30"/>
      <c r="D26" s="30"/>
      <c r="E26" s="30"/>
      <c r="F26" s="30"/>
      <c r="G26" s="30"/>
      <c r="H26" s="30"/>
      <c r="I26" s="30"/>
      <c r="J26" s="33"/>
      <c r="K26" s="33"/>
      <c r="L26" s="30"/>
      <c r="M26" s="30"/>
      <c r="N26" s="49"/>
      <c r="O26" s="18"/>
    </row>
    <row r="27" spans="1:15">
      <c r="A27" s="16"/>
      <c r="B27" s="30"/>
      <c r="C27" s="30"/>
      <c r="D27" s="30"/>
      <c r="E27" s="30"/>
      <c r="F27" s="30"/>
      <c r="G27" s="30"/>
      <c r="H27" s="30"/>
      <c r="I27" s="30"/>
      <c r="J27" s="33"/>
      <c r="K27" s="33"/>
      <c r="L27" s="30"/>
      <c r="M27" s="30"/>
      <c r="N27" s="49"/>
      <c r="O27" s="18"/>
    </row>
    <row r="28" spans="1:15">
      <c r="A28" s="16"/>
      <c r="B28" s="30"/>
      <c r="C28" s="30"/>
      <c r="D28" s="30"/>
      <c r="E28" s="30"/>
      <c r="F28" s="30"/>
      <c r="G28" s="30"/>
      <c r="H28" s="30"/>
      <c r="I28" s="30"/>
      <c r="J28" s="33"/>
      <c r="K28" s="33"/>
      <c r="L28" s="30"/>
      <c r="M28" s="30"/>
      <c r="N28" s="49"/>
      <c r="O28" s="18"/>
    </row>
    <row r="29" spans="1:15">
      <c r="A29" s="16"/>
      <c r="B29" s="30"/>
      <c r="C29" s="30"/>
      <c r="D29" s="30"/>
      <c r="E29" s="30"/>
      <c r="F29" s="30"/>
      <c r="G29" s="30"/>
      <c r="H29" s="30"/>
      <c r="I29" s="30"/>
      <c r="J29" s="33"/>
      <c r="K29" s="33"/>
      <c r="L29" s="30"/>
      <c r="M29" s="30"/>
      <c r="N29" s="49"/>
      <c r="O29" s="18"/>
    </row>
    <row r="30" spans="1:15">
      <c r="A30" s="16"/>
      <c r="B30" s="30"/>
      <c r="C30" s="30"/>
      <c r="D30" s="30"/>
      <c r="E30" s="30"/>
      <c r="F30" s="30"/>
      <c r="G30" s="30"/>
      <c r="H30" s="30"/>
      <c r="I30" s="30"/>
      <c r="J30" s="33"/>
      <c r="K30" s="33"/>
      <c r="L30" s="30"/>
      <c r="M30" s="30"/>
      <c r="N30" s="49"/>
      <c r="O30" s="18"/>
    </row>
    <row r="31" spans="1:15">
      <c r="A31" s="16"/>
      <c r="B31" s="30"/>
      <c r="C31" s="30"/>
      <c r="D31" s="30"/>
      <c r="E31" s="30"/>
      <c r="F31" s="30"/>
      <c r="G31" s="30"/>
      <c r="H31" s="30"/>
      <c r="I31" s="30"/>
      <c r="J31" s="33"/>
      <c r="K31" s="33"/>
      <c r="L31" s="30"/>
      <c r="M31" s="30"/>
      <c r="N31" s="49"/>
      <c r="O31" s="18"/>
    </row>
    <row r="32" spans="1:15">
      <c r="A32" s="16"/>
      <c r="B32" s="30"/>
      <c r="C32" s="30"/>
      <c r="D32" s="30"/>
      <c r="E32" s="30"/>
      <c r="F32" s="30"/>
      <c r="G32" s="30"/>
      <c r="H32" s="30"/>
      <c r="I32" s="30"/>
      <c r="J32" s="33"/>
      <c r="K32" s="33"/>
      <c r="L32" s="30"/>
      <c r="M32" s="30"/>
      <c r="N32" s="49"/>
      <c r="O32" s="18"/>
    </row>
    <row r="33" spans="1:15">
      <c r="A33" s="16"/>
      <c r="B33" s="30"/>
      <c r="C33" s="30"/>
      <c r="D33" s="30"/>
      <c r="E33" s="30"/>
      <c r="F33" s="30"/>
      <c r="G33" s="30"/>
      <c r="H33" s="30"/>
      <c r="I33" s="30"/>
      <c r="J33" s="33"/>
      <c r="K33" s="33"/>
      <c r="L33" s="30"/>
      <c r="M33" s="30"/>
      <c r="N33" s="49"/>
      <c r="O33" s="18"/>
    </row>
    <row r="34" spans="1:15">
      <c r="A34" s="16"/>
      <c r="B34" s="30"/>
      <c r="C34" s="30"/>
      <c r="D34" s="30"/>
      <c r="E34" s="30"/>
      <c r="F34" s="30"/>
      <c r="G34" s="30"/>
      <c r="H34" s="30"/>
      <c r="I34" s="30"/>
      <c r="J34" s="33"/>
      <c r="K34" s="33"/>
      <c r="L34" s="30"/>
      <c r="M34" s="30"/>
      <c r="N34" s="49"/>
      <c r="O34" s="18"/>
    </row>
    <row r="35" spans="1:15">
      <c r="A35" s="16"/>
      <c r="B35" s="30"/>
      <c r="C35" s="30"/>
      <c r="D35" s="30"/>
      <c r="E35" s="30"/>
      <c r="F35" s="30"/>
      <c r="G35" s="30"/>
      <c r="H35" s="30"/>
      <c r="I35" s="30"/>
      <c r="J35" s="33"/>
      <c r="K35" s="33"/>
      <c r="L35" s="30"/>
      <c r="M35" s="30"/>
      <c r="N35" s="49"/>
      <c r="O35" s="18"/>
    </row>
    <row r="36" spans="1:15">
      <c r="A36" s="16"/>
      <c r="B36" s="30"/>
      <c r="C36" s="30"/>
      <c r="D36" s="30"/>
      <c r="E36" s="30"/>
      <c r="F36" s="30"/>
      <c r="G36" s="30"/>
      <c r="H36" s="30"/>
      <c r="I36" s="30"/>
      <c r="J36" s="33"/>
      <c r="K36" s="33"/>
      <c r="L36" s="30"/>
      <c r="M36" s="30"/>
      <c r="N36" s="49"/>
      <c r="O36" s="18"/>
    </row>
    <row r="37" spans="1:15">
      <c r="A37" s="16"/>
      <c r="B37" s="30"/>
      <c r="C37" s="30"/>
      <c r="D37" s="30"/>
      <c r="E37" s="30"/>
      <c r="F37" s="30"/>
      <c r="G37" s="30"/>
      <c r="H37" s="30"/>
      <c r="I37" s="30"/>
      <c r="J37" s="33"/>
      <c r="K37" s="33"/>
      <c r="L37" s="30"/>
      <c r="M37" s="30"/>
      <c r="N37" s="49"/>
      <c r="O37" s="18"/>
    </row>
    <row r="38" spans="1:15">
      <c r="A38" s="16"/>
      <c r="B38" s="30"/>
      <c r="C38" s="30"/>
      <c r="D38" s="30"/>
      <c r="E38" s="30"/>
      <c r="F38" s="30"/>
      <c r="G38" s="30"/>
      <c r="H38" s="30"/>
      <c r="I38" s="30"/>
      <c r="J38" s="33"/>
      <c r="K38" s="33"/>
      <c r="L38" s="30"/>
      <c r="M38" s="30"/>
      <c r="N38" s="49"/>
      <c r="O38" s="18"/>
    </row>
    <row r="39" spans="1:15">
      <c r="A39" s="16"/>
      <c r="B39" s="30"/>
      <c r="C39" s="30"/>
      <c r="D39" s="30"/>
      <c r="E39" s="30"/>
      <c r="F39" s="30"/>
      <c r="G39" s="30"/>
      <c r="H39" s="30"/>
      <c r="I39" s="30"/>
      <c r="J39" s="33"/>
      <c r="K39" s="33"/>
      <c r="L39" s="30"/>
      <c r="M39" s="30"/>
      <c r="N39" s="49"/>
      <c r="O39" s="18"/>
    </row>
    <row r="40" spans="1:15">
      <c r="A40" s="16"/>
      <c r="B40" s="30"/>
      <c r="C40" s="30"/>
      <c r="D40" s="30"/>
      <c r="E40" s="30"/>
      <c r="F40" s="30"/>
      <c r="G40" s="30"/>
      <c r="H40" s="30"/>
      <c r="I40" s="30"/>
      <c r="J40" s="33"/>
      <c r="K40" s="33"/>
      <c r="L40" s="30"/>
      <c r="M40" s="30"/>
      <c r="N40" s="49"/>
      <c r="O40" s="18"/>
    </row>
    <row r="41" spans="1:15">
      <c r="A41" s="16"/>
      <c r="B41" s="30"/>
      <c r="C41" s="30"/>
      <c r="D41" s="30"/>
      <c r="E41" s="30"/>
      <c r="F41" s="30"/>
      <c r="G41" s="30"/>
      <c r="H41" s="30"/>
      <c r="I41" s="30"/>
      <c r="J41" s="33"/>
      <c r="K41" s="33"/>
      <c r="L41" s="30"/>
      <c r="M41" s="30"/>
      <c r="N41" s="49"/>
      <c r="O41" s="18"/>
    </row>
    <row r="42" spans="1:15">
      <c r="A42" s="16"/>
      <c r="B42" s="30"/>
      <c r="C42" s="30"/>
      <c r="D42" s="30"/>
      <c r="E42" s="30"/>
      <c r="F42" s="30"/>
      <c r="G42" s="30"/>
      <c r="H42" s="30"/>
      <c r="I42" s="30"/>
      <c r="J42" s="33"/>
      <c r="K42" s="33"/>
      <c r="L42" s="30"/>
      <c r="M42" s="30"/>
      <c r="N42" s="49"/>
      <c r="O42" s="18"/>
    </row>
    <row r="43" spans="1:15">
      <c r="A43" s="16"/>
      <c r="B43" s="30"/>
      <c r="C43" s="30"/>
      <c r="D43" s="30"/>
      <c r="E43" s="30"/>
      <c r="F43" s="30"/>
      <c r="G43" s="30"/>
      <c r="H43" s="30"/>
      <c r="I43" s="30"/>
      <c r="J43" s="33"/>
      <c r="K43" s="33"/>
      <c r="L43" s="30"/>
      <c r="M43" s="30"/>
      <c r="N43" s="49"/>
      <c r="O43" s="18"/>
    </row>
    <row r="44" spans="1:15">
      <c r="A44" s="16"/>
      <c r="B44" s="30"/>
      <c r="C44" s="30"/>
      <c r="D44" s="30"/>
      <c r="E44" s="30"/>
      <c r="F44" s="30"/>
      <c r="G44" s="30"/>
      <c r="H44" s="30"/>
      <c r="I44" s="30"/>
      <c r="J44" s="33"/>
      <c r="K44" s="33"/>
      <c r="L44" s="30"/>
      <c r="M44" s="30"/>
      <c r="N44" s="49"/>
      <c r="O44" s="18"/>
    </row>
    <row r="45" spans="1:15">
      <c r="A45" s="16"/>
      <c r="B45" s="30"/>
      <c r="C45" s="30"/>
      <c r="D45" s="30"/>
      <c r="E45" s="30"/>
      <c r="F45" s="30"/>
      <c r="G45" s="30"/>
      <c r="H45" s="30"/>
      <c r="I45" s="30"/>
      <c r="J45" s="33"/>
      <c r="K45" s="33"/>
      <c r="L45" s="30"/>
      <c r="M45" s="30"/>
      <c r="N45" s="49"/>
      <c r="O45" s="18"/>
    </row>
    <row r="46" spans="1:15">
      <c r="A46" s="16"/>
      <c r="B46" s="30"/>
      <c r="C46" s="30"/>
      <c r="D46" s="30"/>
      <c r="E46" s="30"/>
      <c r="F46" s="30"/>
      <c r="G46" s="30"/>
      <c r="H46" s="30"/>
      <c r="I46" s="30"/>
      <c r="J46" s="33"/>
      <c r="K46" s="33"/>
      <c r="L46" s="30"/>
      <c r="M46" s="30"/>
      <c r="N46" s="49"/>
      <c r="O46" s="18"/>
    </row>
    <row r="47" spans="1:15">
      <c r="A47" s="16"/>
      <c r="B47" s="30"/>
      <c r="C47" s="30"/>
      <c r="D47" s="30"/>
      <c r="E47" s="30"/>
      <c r="F47" s="30"/>
      <c r="G47" s="30"/>
      <c r="H47" s="30"/>
      <c r="I47" s="30"/>
      <c r="J47" s="33"/>
      <c r="K47" s="33"/>
      <c r="L47" s="30"/>
      <c r="M47" s="30"/>
      <c r="N47" s="49"/>
      <c r="O47" s="18"/>
    </row>
    <row r="48" spans="1:15">
      <c r="A48" s="16"/>
      <c r="B48" s="30"/>
      <c r="C48" s="30"/>
      <c r="D48" s="30"/>
      <c r="E48" s="30"/>
      <c r="F48" s="30"/>
      <c r="G48" s="30"/>
      <c r="H48" s="30"/>
      <c r="I48" s="30"/>
      <c r="J48" s="33"/>
      <c r="K48" s="33"/>
      <c r="L48" s="30"/>
      <c r="M48" s="30"/>
      <c r="N48" s="49"/>
      <c r="O48" s="18"/>
    </row>
    <row r="49" spans="1:15">
      <c r="A49" s="16"/>
      <c r="B49" s="30"/>
      <c r="C49" s="30"/>
      <c r="D49" s="30"/>
      <c r="E49" s="30"/>
      <c r="F49" s="30"/>
      <c r="G49" s="30"/>
      <c r="H49" s="30"/>
      <c r="I49" s="30"/>
      <c r="J49" s="33"/>
      <c r="K49" s="33"/>
      <c r="L49" s="30"/>
      <c r="M49" s="30"/>
      <c r="N49" s="49"/>
      <c r="O49" s="18"/>
    </row>
    <row r="50" spans="1:15">
      <c r="A50" s="16"/>
      <c r="B50" s="30"/>
      <c r="C50" s="30"/>
      <c r="D50" s="30"/>
      <c r="E50" s="30"/>
      <c r="F50" s="30"/>
      <c r="G50" s="30"/>
      <c r="H50" s="30"/>
      <c r="I50" s="30"/>
      <c r="J50" s="33"/>
      <c r="K50" s="33"/>
      <c r="L50" s="30"/>
      <c r="M50" s="30"/>
      <c r="N50" s="49"/>
      <c r="O50" s="18"/>
    </row>
    <row r="51" spans="1:15">
      <c r="A51" s="16"/>
      <c r="B51" s="30"/>
      <c r="C51" s="30"/>
      <c r="D51" s="30"/>
      <c r="E51" s="30"/>
      <c r="F51" s="30"/>
      <c r="G51" s="30"/>
      <c r="H51" s="30"/>
      <c r="I51" s="30"/>
      <c r="J51" s="33"/>
      <c r="K51" s="33"/>
      <c r="L51" s="30"/>
      <c r="M51" s="30"/>
      <c r="N51" s="49"/>
      <c r="O51" s="18"/>
    </row>
    <row r="52" spans="1:15">
      <c r="A52" s="16"/>
      <c r="B52" s="30"/>
      <c r="C52" s="30"/>
      <c r="D52" s="30"/>
      <c r="E52" s="30"/>
      <c r="F52" s="30"/>
      <c r="G52" s="30"/>
      <c r="H52" s="30"/>
      <c r="I52" s="30"/>
      <c r="J52" s="33"/>
      <c r="K52" s="33"/>
      <c r="L52" s="30"/>
      <c r="M52" s="30"/>
      <c r="N52" s="49"/>
      <c r="O52" s="18"/>
    </row>
    <row r="53" spans="1:15">
      <c r="A53" s="16"/>
      <c r="B53" s="30"/>
      <c r="C53" s="30"/>
      <c r="D53" s="30"/>
      <c r="E53" s="30"/>
      <c r="F53" s="30"/>
      <c r="G53" s="30"/>
      <c r="H53" s="30"/>
      <c r="I53" s="30"/>
      <c r="J53" s="33"/>
      <c r="K53" s="33"/>
      <c r="L53" s="30"/>
      <c r="M53" s="30"/>
      <c r="N53" s="49"/>
      <c r="O53" s="18"/>
    </row>
    <row r="54" spans="1:15">
      <c r="A54" s="16"/>
      <c r="B54" s="30"/>
      <c r="C54" s="30"/>
      <c r="D54" s="30"/>
      <c r="E54" s="30"/>
      <c r="F54" s="30"/>
      <c r="G54" s="30"/>
      <c r="H54" s="30"/>
      <c r="I54" s="30"/>
      <c r="J54" s="33"/>
      <c r="K54" s="33"/>
      <c r="L54" s="30"/>
      <c r="M54" s="30"/>
      <c r="N54" s="49"/>
      <c r="O54" s="18"/>
    </row>
    <row r="55" spans="1:15">
      <c r="A55" s="16"/>
      <c r="B55" s="30"/>
      <c r="C55" s="30"/>
      <c r="D55" s="30"/>
      <c r="E55" s="30"/>
      <c r="F55" s="30"/>
      <c r="G55" s="30"/>
      <c r="H55" s="30"/>
      <c r="I55" s="30"/>
      <c r="J55" s="33"/>
      <c r="K55" s="33"/>
      <c r="L55" s="30"/>
      <c r="M55" s="30"/>
      <c r="N55" s="49"/>
      <c r="O55" s="18"/>
    </row>
    <row r="56" spans="1:15">
      <c r="A56" s="16"/>
      <c r="B56" s="30"/>
      <c r="C56" s="30"/>
      <c r="D56" s="30"/>
      <c r="E56" s="30"/>
      <c r="F56" s="30"/>
      <c r="G56" s="30"/>
      <c r="H56" s="30"/>
      <c r="I56" s="30"/>
      <c r="J56" s="33"/>
      <c r="K56" s="33"/>
      <c r="L56" s="30"/>
      <c r="M56" s="30"/>
      <c r="N56" s="49"/>
      <c r="O56" s="18"/>
    </row>
    <row r="57" spans="1:15">
      <c r="A57" s="16"/>
      <c r="B57" s="30"/>
      <c r="C57" s="30"/>
      <c r="D57" s="30"/>
      <c r="E57" s="30"/>
      <c r="F57" s="30"/>
      <c r="G57" s="30"/>
      <c r="H57" s="30"/>
      <c r="I57" s="30"/>
      <c r="J57" s="33"/>
      <c r="K57" s="33"/>
      <c r="L57" s="30"/>
      <c r="M57" s="30"/>
      <c r="N57" s="49"/>
      <c r="O57" s="18"/>
    </row>
    <row r="58" spans="1:15">
      <c r="A58" s="16"/>
      <c r="B58" s="30"/>
      <c r="C58" s="30"/>
      <c r="D58" s="30"/>
      <c r="E58" s="30"/>
      <c r="F58" s="30"/>
      <c r="G58" s="30"/>
      <c r="H58" s="30"/>
      <c r="I58" s="30"/>
      <c r="J58" s="33"/>
      <c r="K58" s="33"/>
      <c r="L58" s="30"/>
      <c r="M58" s="30"/>
      <c r="N58" s="49"/>
      <c r="O58" s="18"/>
    </row>
    <row r="59" spans="1:15">
      <c r="A59" s="16"/>
      <c r="B59" s="30"/>
      <c r="C59" s="30"/>
      <c r="D59" s="30"/>
      <c r="E59" s="30"/>
      <c r="F59" s="30"/>
      <c r="G59" s="30"/>
      <c r="H59" s="30"/>
      <c r="I59" s="30"/>
      <c r="J59" s="33"/>
      <c r="K59" s="33"/>
      <c r="L59" s="30"/>
      <c r="M59" s="30"/>
      <c r="N59" s="49"/>
      <c r="O59" s="18"/>
    </row>
    <row r="60" spans="1:15">
      <c r="A60" s="16"/>
      <c r="B60" s="30"/>
      <c r="C60" s="30"/>
      <c r="D60" s="30"/>
      <c r="E60" s="30"/>
      <c r="F60" s="30"/>
      <c r="G60" s="30"/>
      <c r="H60" s="30"/>
      <c r="I60" s="30"/>
      <c r="J60" s="33"/>
      <c r="K60" s="33"/>
      <c r="L60" s="30"/>
      <c r="M60" s="30"/>
      <c r="N60" s="49"/>
      <c r="O60" s="18"/>
    </row>
    <row r="61" spans="1:15">
      <c r="A61" s="16"/>
      <c r="B61" s="30"/>
      <c r="C61" s="30"/>
      <c r="D61" s="30"/>
      <c r="E61" s="30"/>
      <c r="F61" s="30"/>
      <c r="G61" s="30"/>
      <c r="H61" s="30"/>
      <c r="I61" s="30"/>
      <c r="J61" s="33"/>
      <c r="K61" s="33"/>
      <c r="L61" s="30"/>
      <c r="M61" s="30"/>
      <c r="N61" s="49"/>
      <c r="O61" s="18"/>
    </row>
    <row r="62" spans="1:15">
      <c r="A62" s="16"/>
      <c r="B62" s="30"/>
      <c r="C62" s="30"/>
      <c r="D62" s="30"/>
      <c r="E62" s="30"/>
      <c r="F62" s="30"/>
      <c r="G62" s="30"/>
      <c r="H62" s="30"/>
      <c r="I62" s="30"/>
      <c r="J62" s="33"/>
      <c r="K62" s="33"/>
      <c r="L62" s="30"/>
      <c r="M62" s="30"/>
      <c r="N62" s="49"/>
      <c r="O62" s="18"/>
    </row>
    <row r="63" spans="1:15">
      <c r="A63" s="16"/>
      <c r="B63" s="30"/>
      <c r="C63" s="30"/>
      <c r="D63" s="30"/>
      <c r="E63" s="30"/>
      <c r="F63" s="30"/>
      <c r="G63" s="30"/>
      <c r="H63" s="30"/>
      <c r="I63" s="30"/>
      <c r="J63" s="33"/>
      <c r="K63" s="33"/>
      <c r="L63" s="30"/>
      <c r="M63" s="30"/>
      <c r="N63" s="49"/>
      <c r="O63" s="18"/>
    </row>
  </sheetData>
  <phoneticPr fontId="1" type="noConversion"/>
  <conditionalFormatting sqref="J1:K1048576">
    <cfRule type="cellIs" dxfId="2" priority="1" operator="equal">
      <formula>"高"</formula>
    </cfRule>
    <cfRule type="cellIs" dxfId="1" priority="2" operator="equal">
      <formula>"中"</formula>
    </cfRule>
    <cfRule type="cellIs" dxfId="0" priority="3" operator="equal">
      <formula>"低"</formula>
    </cfRule>
  </conditionalFormatting>
  <dataValidations count="1">
    <dataValidation allowBlank="1" showDropDown="1" showInputMessage="1" showErrorMessage="1" sqref="L1:M1048576" xr:uid="{A6774F23-E5C1-48B7-8180-B3FCAC7AF0E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7BF47E39-1372-499A-9383-FC233EFA4C0B}">
          <x14:formula1>
            <xm:f>TB_Check!$A:$A</xm:f>
          </x14:formula1>
          <xm:sqref>O1:O1048576</xm:sqref>
        </x14:dataValidation>
        <x14:dataValidation type="list" showInputMessage="1" showErrorMessage="1" xr:uid="{719C3576-4BC1-4CA0-BAED-0E0E9E3A3D53}">
          <x14:formula1>
            <xm:f>TB_製程動作分析盤點!$A:$A</xm:f>
          </x14:formula1>
          <xm:sqref>I1:I1048576</xm:sqref>
        </x14:dataValidation>
        <x14:dataValidation type="list" allowBlank="1" showInputMessage="1" showErrorMessage="1" xr:uid="{1272C6FD-708E-4F88-ADBD-9B9D2ED7ED91}">
          <x14:formula1>
            <xm:f>TB_製程動作分析盤點!$B:$B</xm:f>
          </x14:formula1>
          <xm:sqref>J2:J1048576 K1:K1048576</xm:sqref>
        </x14:dataValidation>
        <x14:dataValidation type="list" allowBlank="1" showInputMessage="1" showErrorMessage="1" xr:uid="{AD511F84-635D-4B61-AE1A-99431E67F372}">
          <x14:formula1>
            <xm:f>TB_製程動作分析盤點!$D:$D</xm:f>
          </x14:formula1>
          <xm:sqref>G1:G1048576</xm:sqref>
        </x14:dataValidation>
        <x14:dataValidation type="list" showInputMessage="1" showErrorMessage="1" xr:uid="{75ECCEE9-3C94-4CBD-A26A-087430734E6D}">
          <x14:formula1>
            <xm:f>TB_製程動作分析盤點!$E:$E</xm:f>
          </x14:formula1>
          <xm:sqref>F1:F1048576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5C7D-8759-41E7-B6E6-4A099ED2B7DC}">
  <sheetPr>
    <tabColor rgb="FFFFFF00"/>
  </sheetPr>
  <dimension ref="A1:AC14"/>
  <sheetViews>
    <sheetView workbookViewId="0">
      <selection activeCell="T15" sqref="T15"/>
    </sheetView>
  </sheetViews>
  <sheetFormatPr defaultColWidth="3.6640625" defaultRowHeight="21"/>
  <cols>
    <col min="1" max="1" width="7.77734375" style="39" bestFit="1" customWidth="1"/>
    <col min="2" max="2" width="3.5546875" style="22" bestFit="1" customWidth="1"/>
    <col min="3" max="3" width="12.44140625" style="22" bestFit="1" customWidth="1"/>
    <col min="4" max="4" width="3.5546875" style="39" bestFit="1" customWidth="1"/>
    <col min="5" max="5" width="12.44140625" style="40" bestFit="1" customWidth="1"/>
    <col min="6" max="6" width="3.5546875" style="40" bestFit="1" customWidth="1"/>
    <col min="7" max="7" width="12.44140625" style="40" bestFit="1" customWidth="1"/>
    <col min="8" max="8" width="3.5546875" style="22" bestFit="1" customWidth="1"/>
    <col min="9" max="9" width="12.44140625" style="22" bestFit="1" customWidth="1"/>
    <col min="10" max="10" width="3.5546875" style="22" bestFit="1" customWidth="1"/>
    <col min="11" max="11" width="10.44140625" style="22" bestFit="1" customWidth="1"/>
    <col min="12" max="12" width="3.5546875" style="22" bestFit="1" customWidth="1"/>
    <col min="13" max="13" width="12.44140625" style="22" customWidth="1"/>
    <col min="14" max="14" width="7.77734375" style="22" bestFit="1" customWidth="1"/>
    <col min="15" max="24" width="3.6640625" style="22"/>
    <col min="25" max="25" width="11.6640625" style="22" bestFit="1" customWidth="1"/>
    <col min="26" max="26" width="25.109375" style="22" bestFit="1" customWidth="1"/>
    <col min="27" max="27" width="3.5546875" style="39" bestFit="1" customWidth="1"/>
    <col min="28" max="28" width="12.44140625" style="40" bestFit="1" customWidth="1"/>
    <col min="29" max="16384" width="3.6640625" style="22"/>
  </cols>
  <sheetData>
    <row r="1" spans="1:29" ht="66.599999999999994" customHeight="1">
      <c r="A1" s="42" t="s">
        <v>92</v>
      </c>
      <c r="B1" s="43" t="s">
        <v>154</v>
      </c>
      <c r="C1" s="43"/>
      <c r="D1" s="43"/>
      <c r="E1" s="43"/>
      <c r="F1" s="43"/>
      <c r="G1" s="43"/>
      <c r="H1" s="43" t="s">
        <v>153</v>
      </c>
      <c r="I1" s="43"/>
      <c r="J1" s="43"/>
      <c r="K1" s="43"/>
      <c r="L1" s="43"/>
      <c r="M1" s="43"/>
    </row>
    <row r="2" spans="1:29" ht="15.6">
      <c r="A2" s="42"/>
      <c r="B2" s="46" t="s">
        <v>98</v>
      </c>
      <c r="C2" s="46"/>
      <c r="D2" s="47" t="s">
        <v>99</v>
      </c>
      <c r="E2" s="47"/>
      <c r="F2" s="48" t="s">
        <v>101</v>
      </c>
      <c r="G2" s="48"/>
      <c r="H2" s="46" t="s">
        <v>98</v>
      </c>
      <c r="I2" s="46"/>
      <c r="J2" s="47" t="s">
        <v>99</v>
      </c>
      <c r="K2" s="47"/>
      <c r="L2" s="48" t="s">
        <v>101</v>
      </c>
      <c r="M2" s="48"/>
      <c r="AA2" s="22"/>
      <c r="AB2" s="22"/>
    </row>
    <row r="3" spans="1:29">
      <c r="A3" s="44">
        <f>COUNT('C.製程動作分析盤點'!A:A)</f>
        <v>4</v>
      </c>
      <c r="B3" s="44">
        <f>COUNTIF('C.製程動作分析盤點'!J:J,"高")</f>
        <v>0</v>
      </c>
      <c r="C3" s="45">
        <f>B3/$A$3</f>
        <v>0</v>
      </c>
      <c r="D3" s="44">
        <f>COUNTIF('C.製程動作分析盤點'!J:J,"中")</f>
        <v>0</v>
      </c>
      <c r="E3" s="45">
        <f>D3/$A$3</f>
        <v>0</v>
      </c>
      <c r="F3" s="44">
        <f>COUNTIF('C.製程動作分析盤點'!J:J,"低")</f>
        <v>4</v>
      </c>
      <c r="G3" s="45">
        <f>F3/$A$3</f>
        <v>1</v>
      </c>
      <c r="H3" s="44">
        <f>COUNTIF('C.製程動作分析盤點'!K:K,"高")</f>
        <v>2</v>
      </c>
      <c r="I3" s="45">
        <f>H3/$A$3</f>
        <v>0.5</v>
      </c>
      <c r="J3" s="44">
        <f>COUNTIF('C.製程動作分析盤點'!K:K,"中")</f>
        <v>0</v>
      </c>
      <c r="K3" s="45">
        <f>J3/$A$3</f>
        <v>0</v>
      </c>
      <c r="L3" s="44">
        <f>COUNTIF('C.製程動作分析盤點'!K:K,"低")</f>
        <v>2</v>
      </c>
      <c r="M3" s="45">
        <f>L3/$A$3</f>
        <v>0.5</v>
      </c>
      <c r="AA3" s="22"/>
      <c r="AB3" s="22"/>
    </row>
    <row r="4" spans="1:29">
      <c r="B4" s="41"/>
      <c r="C4" s="41"/>
      <c r="F4" s="39"/>
      <c r="G4" s="39"/>
      <c r="AA4" s="22"/>
      <c r="AB4" s="22"/>
    </row>
    <row r="5" spans="1:29">
      <c r="B5" s="41"/>
      <c r="C5" s="41"/>
      <c r="F5" s="39"/>
      <c r="G5" s="39"/>
      <c r="AA5" s="22"/>
      <c r="AB5" s="22"/>
    </row>
    <row r="6" spans="1:29">
      <c r="B6" s="39"/>
      <c r="C6" s="39"/>
      <c r="E6" s="39"/>
      <c r="F6" s="39"/>
      <c r="G6" s="39"/>
      <c r="AA6" s="22"/>
      <c r="AB6" s="22"/>
    </row>
    <row r="7" spans="1:29">
      <c r="B7" s="39"/>
      <c r="C7" s="39"/>
      <c r="E7" s="39"/>
      <c r="F7" s="39"/>
      <c r="G7" s="39"/>
      <c r="Y7" s="39"/>
      <c r="Z7" s="39"/>
      <c r="AB7" s="39"/>
      <c r="AC7" s="39"/>
    </row>
    <row r="11" spans="1:29">
      <c r="F11" s="22"/>
      <c r="G11" s="22"/>
    </row>
    <row r="12" spans="1:29">
      <c r="F12" s="22"/>
      <c r="G12" s="22"/>
    </row>
    <row r="13" spans="1:29">
      <c r="F13" s="22"/>
      <c r="G13" s="22"/>
    </row>
    <row r="14" spans="1:29">
      <c r="F14" s="22"/>
      <c r="G14" s="22"/>
    </row>
  </sheetData>
  <mergeCells count="9">
    <mergeCell ref="A1:A2"/>
    <mergeCell ref="H2:I2"/>
    <mergeCell ref="J2:K2"/>
    <mergeCell ref="L2:M2"/>
    <mergeCell ref="H1:M1"/>
    <mergeCell ref="B2:C2"/>
    <mergeCell ref="D2:E2"/>
    <mergeCell ref="F2:G2"/>
    <mergeCell ref="B1:G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B531-20B2-41BA-83FF-D38C4F8DED83}">
  <sheetPr>
    <tabColor rgb="FFFFFF00"/>
  </sheetPr>
  <dimension ref="A1:C13"/>
  <sheetViews>
    <sheetView workbookViewId="0">
      <pane ySplit="1" topLeftCell="A2" activePane="bottomLeft" state="frozen"/>
      <selection pane="bottomLeft" activeCell="B20" sqref="A1:XFD1048576"/>
    </sheetView>
  </sheetViews>
  <sheetFormatPr defaultRowHeight="15.6"/>
  <cols>
    <col min="1" max="1" width="7.5546875" style="21" bestFit="1" customWidth="1"/>
    <col min="2" max="2" width="97" style="19" customWidth="1"/>
    <col min="3" max="3" width="7.88671875" style="21" bestFit="1" customWidth="1"/>
    <col min="4" max="16384" width="8.88671875" style="19"/>
  </cols>
  <sheetData>
    <row r="1" spans="1:3">
      <c r="A1" s="16" t="s">
        <v>18</v>
      </c>
      <c r="B1" s="17" t="s">
        <v>19</v>
      </c>
      <c r="C1" s="18" t="s">
        <v>20</v>
      </c>
    </row>
    <row r="2" spans="1:3">
      <c r="A2" s="16">
        <v>1</v>
      </c>
      <c r="B2" s="20"/>
      <c r="C2" s="18"/>
    </row>
    <row r="3" spans="1:3">
      <c r="A3" s="16">
        <v>2</v>
      </c>
      <c r="B3" s="20"/>
      <c r="C3" s="18"/>
    </row>
    <row r="4" spans="1:3">
      <c r="A4" s="16">
        <v>3</v>
      </c>
      <c r="B4" s="20"/>
      <c r="C4" s="18"/>
    </row>
    <row r="5" spans="1:3">
      <c r="A5" s="16">
        <v>4</v>
      </c>
      <c r="B5" s="20"/>
      <c r="C5" s="18"/>
    </row>
    <row r="6" spans="1:3">
      <c r="A6" s="16">
        <v>5</v>
      </c>
      <c r="B6" s="20"/>
      <c r="C6" s="18"/>
    </row>
    <row r="7" spans="1:3">
      <c r="A7" s="16">
        <v>6</v>
      </c>
      <c r="B7" s="20"/>
      <c r="C7" s="18"/>
    </row>
    <row r="8" spans="1:3">
      <c r="A8" s="16">
        <v>7</v>
      </c>
      <c r="B8" s="20"/>
      <c r="C8" s="18"/>
    </row>
    <row r="9" spans="1:3">
      <c r="A9" s="16">
        <v>8</v>
      </c>
      <c r="B9" s="20"/>
      <c r="C9" s="18"/>
    </row>
    <row r="10" spans="1:3">
      <c r="A10" s="16">
        <v>9</v>
      </c>
      <c r="B10" s="20"/>
      <c r="C10" s="18"/>
    </row>
    <row r="11" spans="1:3">
      <c r="A11" s="16">
        <v>10</v>
      </c>
      <c r="B11" s="20"/>
      <c r="C11" s="18"/>
    </row>
    <row r="12" spans="1:3">
      <c r="A12" s="16">
        <v>11</v>
      </c>
      <c r="B12" s="20"/>
      <c r="C12" s="18"/>
    </row>
    <row r="13" spans="1:3">
      <c r="A13" s="16">
        <v>12</v>
      </c>
      <c r="B13" s="20"/>
      <c r="C13" s="18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39E6D02-B52F-41F2-B192-27651BF65DED}">
          <x14:formula1>
            <xm:f>TB_Check!$A:$A</xm:f>
          </x14:formula1>
          <xm:sqref>C1:C1048576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460E-9148-431A-9979-64DD88E80E79}">
  <dimension ref="A1:A2"/>
  <sheetViews>
    <sheetView workbookViewId="0">
      <selection activeCell="A18" sqref="A18"/>
    </sheetView>
  </sheetViews>
  <sheetFormatPr defaultRowHeight="15.6"/>
  <cols>
    <col min="1" max="16384" width="8.88671875" style="7"/>
  </cols>
  <sheetData>
    <row r="1" spans="1:1">
      <c r="A1" s="8" t="s">
        <v>25</v>
      </c>
    </row>
    <row r="2" spans="1:1">
      <c r="A2" s="8" t="s">
        <v>26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456F-A1DD-4730-9800-D417F66E90E7}">
  <dimension ref="A1:J14"/>
  <sheetViews>
    <sheetView workbookViewId="0">
      <selection activeCell="E18" sqref="E18"/>
    </sheetView>
  </sheetViews>
  <sheetFormatPr defaultRowHeight="15.6"/>
  <cols>
    <col min="1" max="1" width="10.44140625" style="7" bestFit="1" customWidth="1"/>
    <col min="2" max="2" width="3.77734375" style="7" bestFit="1" customWidth="1"/>
    <col min="3" max="3" width="4.33203125" style="7" bestFit="1" customWidth="1"/>
    <col min="4" max="4" width="8.88671875" style="7"/>
    <col min="5" max="5" width="25" style="7" customWidth="1"/>
    <col min="6" max="9" width="8.88671875" style="7"/>
    <col min="10" max="10" width="28" style="7" bestFit="1" customWidth="1"/>
    <col min="11" max="16384" width="8.88671875" style="7"/>
  </cols>
  <sheetData>
    <row r="1" spans="1:10">
      <c r="A1" s="29" t="s">
        <v>103</v>
      </c>
      <c r="B1" s="27" t="s">
        <v>98</v>
      </c>
      <c r="C1" s="8" t="s">
        <v>102</v>
      </c>
      <c r="D1" s="27" t="s">
        <v>120</v>
      </c>
      <c r="E1" s="29" t="s">
        <v>115</v>
      </c>
    </row>
    <row r="2" spans="1:10">
      <c r="A2" s="29" t="s">
        <v>106</v>
      </c>
      <c r="B2" s="27" t="s">
        <v>99</v>
      </c>
      <c r="D2" s="27" t="s">
        <v>127</v>
      </c>
      <c r="E2" s="36" t="s">
        <v>132</v>
      </c>
    </row>
    <row r="3" spans="1:10">
      <c r="A3" s="29" t="s">
        <v>105</v>
      </c>
      <c r="B3" s="27" t="s">
        <v>101</v>
      </c>
      <c r="D3" s="27" t="s">
        <v>126</v>
      </c>
      <c r="E3" s="36" t="s">
        <v>131</v>
      </c>
    </row>
    <row r="4" spans="1:10">
      <c r="A4" s="29" t="s">
        <v>108</v>
      </c>
      <c r="D4" s="27" t="s">
        <v>122</v>
      </c>
      <c r="E4" s="29" t="s">
        <v>133</v>
      </c>
    </row>
    <row r="5" spans="1:10">
      <c r="D5" s="27" t="s">
        <v>123</v>
      </c>
      <c r="E5" s="36" t="s">
        <v>134</v>
      </c>
    </row>
    <row r="6" spans="1:10">
      <c r="D6" s="27" t="s">
        <v>124</v>
      </c>
      <c r="E6" s="29" t="s">
        <v>135</v>
      </c>
    </row>
    <row r="7" spans="1:10">
      <c r="E7" s="27" t="s">
        <v>136</v>
      </c>
    </row>
    <row r="8" spans="1:10">
      <c r="E8" s="27" t="s">
        <v>137</v>
      </c>
    </row>
    <row r="9" spans="1:10">
      <c r="E9" s="27" t="s">
        <v>138</v>
      </c>
    </row>
    <row r="10" spans="1:10">
      <c r="E10" s="8" t="s">
        <v>139</v>
      </c>
    </row>
    <row r="11" spans="1:10" ht="16.2">
      <c r="E11" s="37" t="s">
        <v>140</v>
      </c>
      <c r="J11" s="28"/>
    </row>
    <row r="12" spans="1:10">
      <c r="E12" s="27" t="s">
        <v>141</v>
      </c>
    </row>
    <row r="13" spans="1:10">
      <c r="E13" s="37" t="s">
        <v>144</v>
      </c>
    </row>
    <row r="14" spans="1:10" ht="16.2">
      <c r="E14" s="36" t="s">
        <v>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Guide</vt:lpstr>
      <vt:lpstr>CheckList</vt:lpstr>
      <vt:lpstr>1.工作區域</vt:lpstr>
      <vt:lpstr>2.產品、製程流程及標準</vt:lpstr>
      <vt:lpstr>3.製程設備&amp;機台資訊</vt:lpstr>
      <vt:lpstr>4.生產計劃Schedule</vt:lpstr>
      <vt:lpstr>A.製程 Recipe 保存、資訊流、Server 架構、資訊</vt:lpstr>
      <vt:lpstr>B.製造 CIM</vt:lpstr>
      <vt:lpstr>C.製程動作分析盤點</vt:lpstr>
      <vt:lpstr>C.Chart</vt:lpstr>
      <vt:lpstr>X.Sample</vt:lpstr>
      <vt:lpstr>TB_Check</vt:lpstr>
      <vt:lpstr>TB_製程動作分析盤點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Ting Tsai</dc:creator>
  <cp:lastModifiedBy>Cheng Ting Tsai</cp:lastModifiedBy>
  <dcterms:created xsi:type="dcterms:W3CDTF">2025-03-22T11:37:12Z</dcterms:created>
  <dcterms:modified xsi:type="dcterms:W3CDTF">2025-03-24T12:23:53Z</dcterms:modified>
</cp:coreProperties>
</file>